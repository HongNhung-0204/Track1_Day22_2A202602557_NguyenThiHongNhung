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I THUC CHIEN\P-125\Track1_Day22_2A202602557_NguyenThiHongNhung\"/>
    </mc:Choice>
  </mc:AlternateContent>
  <xr:revisionPtr revIDLastSave="0" documentId="13_ncr:1_{1E9954AA-FEC2-4B3C-9AE9-8509B82A5EE2}" xr6:coauthVersionLast="47" xr6:coauthVersionMax="47" xr10:uidLastSave="{00000000-0000-0000-0000-000000000000}"/>
  <bookViews>
    <workbookView xWindow="-110" yWindow="-110" windowWidth="19420" windowHeight="10300" firstSheet="1" activeTab="6"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workbook>
</file>

<file path=xl/calcChain.xml><?xml version="1.0" encoding="utf-8"?>
<calcChain xmlns="http://schemas.openxmlformats.org/spreadsheetml/2006/main">
  <c r="D34" i="5" l="1"/>
  <c r="C34" i="5"/>
  <c r="B34" i="5"/>
  <c r="B35" i="5" s="1"/>
  <c r="B22" i="5"/>
  <c r="B8" i="5"/>
  <c r="B5" i="5"/>
  <c r="B10" i="5" s="1"/>
  <c r="B15" i="5" s="1"/>
  <c r="B16" i="5" s="1"/>
  <c r="B17" i="5" s="1"/>
  <c r="B18" i="4"/>
  <c r="B10" i="4"/>
  <c r="B21" i="4" s="1"/>
  <c r="B34" i="3"/>
  <c r="B31" i="3"/>
  <c r="B30" i="3"/>
  <c r="G20" i="3"/>
  <c r="B19" i="3" s="1"/>
  <c r="G12" i="3"/>
  <c r="B14" i="3" s="1"/>
  <c r="B10" i="3"/>
  <c r="B13" i="3" s="1"/>
  <c r="B77" i="2"/>
  <c r="B64" i="2"/>
  <c r="B55" i="2"/>
  <c r="B50" i="2"/>
  <c r="B54" i="2" s="1"/>
  <c r="B56" i="2" s="1"/>
  <c r="G38" i="2"/>
  <c r="B38" i="2"/>
  <c r="B73" i="2" s="1"/>
  <c r="B23" i="2"/>
  <c r="I22" i="2"/>
  <c r="G22" i="2"/>
  <c r="I21" i="2"/>
  <c r="I20" i="2"/>
  <c r="G20" i="2"/>
  <c r="I19" i="2"/>
  <c r="G19" i="2"/>
  <c r="I18" i="2"/>
  <c r="G18" i="2"/>
  <c r="G23" i="2" s="1"/>
  <c r="B19" i="2" s="1"/>
  <c r="I17" i="2"/>
  <c r="G17" i="2"/>
  <c r="H23" i="2" s="1"/>
  <c r="B21" i="2" s="1"/>
  <c r="I16" i="2"/>
  <c r="I23" i="2" s="1"/>
  <c r="B11" i="2"/>
  <c r="B12" i="2" s="1"/>
  <c r="B63" i="2" l="1"/>
  <c r="B76" i="2"/>
  <c r="B25" i="2"/>
  <c r="B24" i="2"/>
  <c r="B16" i="3"/>
  <c r="B15" i="3"/>
  <c r="G39" i="2"/>
  <c r="G40" i="2" s="1"/>
  <c r="B41" i="2" s="1"/>
  <c r="B43" i="2" s="1"/>
  <c r="B74" i="2" s="1"/>
  <c r="G21" i="3"/>
  <c r="B51" i="3"/>
  <c r="B22" i="2"/>
  <c r="B26" i="2" s="1"/>
  <c r="B28" i="2" s="1"/>
  <c r="B12" i="3"/>
  <c r="B27" i="2" l="1"/>
  <c r="G32" i="2" l="1"/>
  <c r="G33" i="2" s="1"/>
  <c r="B31" i="2"/>
  <c r="B29" i="2"/>
  <c r="B72" i="2" l="1"/>
  <c r="B47" i="2"/>
  <c r="B75" i="2" s="1"/>
  <c r="B62" i="2" l="1"/>
  <c r="B29" i="3"/>
  <c r="B66" i="2" l="1"/>
  <c r="B65" i="2"/>
  <c r="G42" i="3"/>
  <c r="H42" i="3" s="1"/>
  <c r="B41" i="3"/>
  <c r="C41" i="3" s="1"/>
  <c r="D41" i="3" s="1"/>
  <c r="B44" i="3"/>
  <c r="C44" i="3" s="1"/>
  <c r="D44" i="3" s="1"/>
  <c r="G40" i="3"/>
  <c r="H40" i="3" s="1"/>
  <c r="G43" i="3"/>
  <c r="H43" i="3" s="1"/>
  <c r="B40" i="3"/>
  <c r="C40" i="3" s="1"/>
  <c r="D40" i="3" s="1"/>
  <c r="B43" i="3"/>
  <c r="C43" i="3" s="1"/>
  <c r="D43" i="3" s="1"/>
  <c r="G39" i="3"/>
  <c r="H39" i="3" s="1"/>
  <c r="B39" i="3"/>
  <c r="C39" i="3" s="1"/>
  <c r="D39" i="3" s="1"/>
  <c r="G41" i="3"/>
  <c r="H41" i="3" s="1"/>
  <c r="B42" i="3"/>
  <c r="C42" i="3" s="1"/>
  <c r="D42" i="3" s="1"/>
  <c r="B33" i="3"/>
  <c r="G44" i="3"/>
  <c r="G45" i="3" s="1"/>
  <c r="B53" i="3" l="1"/>
  <c r="B35" i="3"/>
  <c r="C74" i="2"/>
  <c r="B67" i="2"/>
  <c r="C77" i="2"/>
  <c r="C76" i="2"/>
  <c r="C75" i="2"/>
  <c r="C72" i="2"/>
  <c r="C73" i="2"/>
  <c r="B69" i="2"/>
  <c r="B5" i="3"/>
  <c r="B20" i="3" l="1"/>
  <c r="B22" i="3" s="1"/>
  <c r="B7" i="3"/>
  <c r="B49" i="3"/>
  <c r="B21" i="3"/>
  <c r="B52" i="3" l="1"/>
  <c r="B24" i="3"/>
  <c r="B6" i="5"/>
  <c r="B9" i="5" s="1"/>
  <c r="B23" i="5" s="1"/>
  <c r="B24" i="5" s="1"/>
  <c r="B23" i="3"/>
  <c r="B50" i="3"/>
  <c r="B2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5" authorId="0" shapeId="0" xr:uid="{00000000-0006-0000-0100-000001000000}">
      <text>
        <r>
          <rPr>
            <sz val="11"/>
            <color theme="1"/>
            <rFont val="Calibri"/>
            <scheme val="minor"/>
          </rPr>
          <t>======
ID#AAACIQEOV6c
Unknown Author    (2026-10-08 02:20:56)
Ví dụ mẫu đang điền sẵn — thay bằng sản phẩm của bạn.</t>
        </r>
      </text>
    </comment>
  </commentList>
</comments>
</file>

<file path=xl/sharedStrings.xml><?xml version="1.0" encoding="utf-8"?>
<sst xmlns="http://schemas.openxmlformats.org/spreadsheetml/2006/main" count="683" uniqueCount="590">
  <si>
    <t>DAY 28 — MONETIZATION MODEL</t>
  </si>
  <si>
    <t>AI Pricing · GTM · Evidence — AI-IN-ACTION Track 1</t>
  </si>
  <si>
    <t>QUY ƯỚC MÀU — CHỈ ĐIỀN VÀO Ô MÀU VÀNG</t>
  </si>
  <si>
    <t>Ô VÀNG, chữ xanh dương</t>
  </si>
  <si>
    <t>Ô bạn phải điền</t>
  </si>
  <si>
    <t>Ô XÁM, chữ đen</t>
  </si>
  <si>
    <t>Công thức tự tính — KHÔNG SỬA</t>
  </si>
  <si>
    <t>Chữ xanh lá</t>
  </si>
  <si>
    <t>Link sang tab khác</t>
  </si>
  <si>
    <t>Ô XÁM đậm nhạt</t>
  </si>
  <si>
    <t>Bảng tham chiếu, chỉ đọc</t>
  </si>
  <si>
    <t>THỨ TỰ LÀM — 6 TRẠM, 120 PHÚT</t>
  </si>
  <si>
    <t>Trạm 1 · 15'</t>
  </si>
  <si>
    <t>Ngân sách khách &amp; định nghĩa Job → điền S1–S2 của tab 1_Cost_Job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</si>
  <si>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</si>
  <si>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</si>
  <si>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</si>
  <si>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</si>
  <si>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</si>
  <si>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</si>
  <si>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</si>
  <si>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</si>
  <si>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</si>
  <si>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</si>
  <si>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</si>
  <si>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</si>
  <si>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</si>
  <si>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</si>
  <si>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Giá tham chiếu trong workbook này được chốt ngày 26/08/2026. Nhiều mức giá là KHUYẾN MẠI CÓ HẠN.</t>
  </si>
  <si>
    <t>Bạn PHẢI tự mở lại trang giá của nhà cung cấp và cập nhật — đây là một phần của bài tập.</t>
  </si>
  <si>
    <t>TAB 1 — COST/JOB CALCULATOR</t>
  </si>
  <si>
    <t>Trạm 1 (S1–S2) và Trạm 3 (S3–S8). Chỉ điền ô vàng.</t>
  </si>
  <si>
    <t>S1. ĐỊNH NGHĨA JOB</t>
  </si>
  <si>
    <t>1 job của bạn là gì?</t>
  </si>
  <si>
    <t>1 ván Ma Sói do AI quản trò điều hành trọn vẹn đến lúc công bố phe thắng, không cần người can thiệp. KHÔNG tính ván bị hủy giữa chừng (lỗi bot hoặc người chơi bỏ).</t>
  </si>
  <si>
    <t>Phải là thứ KHÁCH coi là giá trị — không phải '1 request'</t>
  </si>
  <si>
    <t>Đếm tự động: ván có trạng thái kết thúc GAME_OVER trong engine FSM + eventLogger (đang làm, 08/10/2026).</t>
  </si>
  <si>
    <t>Biến thể HITL: A hay B?</t>
  </si>
  <si>
    <t>A</t>
  </si>
  <si>
    <t>A = khách tự xử lý ca escalate · B = BẠN chịu (outcome/managed)</t>
  </si>
  <si>
    <t>Biến thể A: bán phần mềm. Ván lỗi thì người chơi tự mở ván mới, không có người của mình xử lý thay. Chỉ tính QA nội bộ.</t>
  </si>
  <si>
    <t>S2. KHỐI LƯỢNG</t>
  </si>
  <si>
    <t>Số job THỬ / tháng</t>
  </si>
  <si>
    <t>job</t>
  </si>
  <si>
    <t>GIẢ ĐỊNH quy mô mục tiêu tháng 4+: 100 server × 30 ván/tháng. Ở quy mô pilot nhỏ hơn GM thấp hơn — xem bảng 'Theo khối lượng' ở tab 2.</t>
  </si>
  <si>
    <t>Containment rate (AI tự làm xong)</t>
  </si>
  <si>
    <t>Chưa đo → ước tính và ghi rõ</t>
  </si>
  <si>
    <t>CHƯA ĐO tỷ lệ ván hoàn thành. Tạm dùng 85,7% = độ chính xác nội dung AI ở eval Gate 2 (12/14 bước, 04/10/2026). Brief đặt mục tiêu ≥ 75%. Đo thật bằng eventLogger trước 08/11/2026.</t>
  </si>
  <si>
    <t>→ Số job HOÀN THÀNH / tháng</t>
  </si>
  <si>
    <t>MẪU SỐ của Cost/Job</t>
  </si>
  <si>
    <t>→ Số job KHÔNG xong / tháng</t>
  </si>
  <si>
    <t>Số ca phải escalate</t>
  </si>
  <si>
    <t>S3. API — LLM</t>
  </si>
  <si>
    <t>BẢNG PHỤ — TOKEN / VÁN (đo bằng tiktoken o200k_base, 08/10/2026)</t>
  </si>
  <si>
    <t>Giá input ($ / 1M token)</t>
  </si>
  <si>
    <t>Claude Haiku 4.5 — xem tab 6_Benchmarks</t>
  </si>
  <si>
    <t>gpt-4o-mini (model đang chạy, src/config.py). Giá kiểm tra 08/10/2026 tại developers.openai.com/api/docs/pricing</t>
  </si>
  <si>
    <t>Lời gọi LLM</t>
  </si>
  <si>
    <t>Số lần / ván</t>
  </si>
  <si>
    <t>Token input / lần</t>
  </si>
  <si>
    <t>Token output / lần</t>
  </si>
  <si>
    <t>Giá output ($ / 1M token)</t>
  </si>
  <si>
    <t>Mở màn (intro)</t>
  </si>
  <si>
    <t>Giá cache WRITE ($ / 1M token)</t>
  </si>
  <si>
    <t>Anthropic 5-phút = 1,25× input</t>
  </si>
  <si>
    <t>OpenAI không thu phí ghi cache: lần đầu tính như input thường.</t>
  </si>
  <si>
    <t>Chạng vạng (dusk)</t>
  </si>
  <si>
    <t>Giá cache READ ($ / 1M token)</t>
  </si>
  <si>
    <t>≈ 0,1× input (giảm 90%)</t>
  </si>
  <si>
    <t>OpenAI cached input = $0,075 (50% input, không phải 10%).</t>
  </si>
  <si>
    <t>Bình minh (dawn)</t>
  </si>
  <si>
    <t>Số lượt (turns) / job</t>
  </si>
  <si>
    <t>lượt</t>
  </si>
  <si>
    <t>Số lời gọi LLM / ván, lấy từ bảng phụ F15:I23.</t>
  </si>
  <si>
    <t>Tóm tắt buổi sáng</t>
  </si>
  <si>
    <t>Token input CACHE ĐƯỢC / lượt</t>
  </si>
  <si>
    <t>token</t>
  </si>
  <si>
    <t>System prompt + KB + few-shot</t>
  </si>
  <si>
    <t>Để 0 (thận trọng): prompt dẫn chuyện &lt; 1.024 token nên OpenAI không cache. Chỉ prompt hỏi luật cache được — mức tiết kiệm ở G32:G33.</t>
  </si>
  <si>
    <t>Treo cổ (lynch)</t>
  </si>
  <si>
    <t>Token input FRESH / lượt</t>
  </si>
  <si>
    <t>Câu hỏi khách + dữ liệu động</t>
  </si>
  <si>
    <t>Token input trung bình / lời gọi = tổng input / số lời gọi (bảng phụ).</t>
  </si>
  <si>
    <t>Tổng kết thắng thua</t>
  </si>
  <si>
    <t>Token output / lượt</t>
  </si>
  <si>
    <t>Hỏi luật (gửi cả rulebook)</t>
  </si>
  <si>
    <t>→ Cache write / job</t>
  </si>
  <si>
    <t>→ TỔNG / ván</t>
  </si>
  <si>
    <t>→ Cache read / job</t>
  </si>
  <si>
    <t>→ Input fresh / job</t>
  </si>
  <si>
    <t>Số vòng ngày–đêm / ván (ước tính)</t>
  </si>
  <si>
    <t>→ Output / job</t>
  </si>
  <si>
    <t>Số câu hỏi luật / ván (ước tính)</t>
  </si>
  <si>
    <t>→ LLM / job — CÓ prompt caching</t>
  </si>
  <si>
    <t>Token / từ tiếng Việt (đo)</t>
  </si>
  <si>
    <t>→ LLM / job — KHÔNG cache</t>
  </si>
  <si>
    <t>Input = prompt thật trong src/agents/narrator/prompts.py và RULEBOOK_PROMPT_TEMPLATE (đã điền persona Gothic). Output = giới hạn số từ trong code × 1,52 token/từ (đo trên 81 câu mẫu fallback_templates.json). 2 vòng: ván 5 người 1 Sói, Sói thắng sớm nhất ở sáng vòng 2, Dân có thể thắng ngay vòng 1.</t>
  </si>
  <si>
    <t>→ % tiết kiệm nhờ caching</t>
  </si>
  <si>
    <t>Đòn bẩy rẻ nhất bạn có</t>
  </si>
  <si>
    <t>Dùng Batch API? (1 = có, 0 = không)</t>
  </si>
  <si>
    <t>Batch giảm 50% — chỉ khi job KHÔNG cần realtime</t>
  </si>
  <si>
    <t>Không dùng Batch: lời dẫn phải hiện ngay trong ván (realtime).</t>
  </si>
  <si>
    <t>→ LLM / job sau Batch</t>
  </si>
  <si>
    <t>Nếu bật cache prompt hỏi luật (chưa tính vào mô hình chính)</t>
  </si>
  <si>
    <t>→ LLM / ván khi câu hỏi luật thứ 2, 3 đọc cache</t>
  </si>
  <si>
    <t>S4. API — SPEECH (để 0 nếu sản phẩm không có thoại)</t>
  </si>
  <si>
    <t>→ % tiết kiệm</t>
  </si>
  <si>
    <t>Giá STT ($ / phút)</t>
  </si>
  <si>
    <t>Deepgram streaming list $0,0077/phút</t>
  </si>
  <si>
    <t>Bản đang chạy chỉ có text. TTS mới là tính năng dự kiến (brief), chưa triển khai → 0.</t>
  </si>
  <si>
    <t>Số phút audio / job</t>
  </si>
  <si>
    <t>phút</t>
  </si>
  <si>
    <t>INFRA — bảng phụ</t>
  </si>
  <si>
    <t>Giá TTS ($ / 1M ký tự)</t>
  </si>
  <si>
    <t>ElevenLabs Flash $50 · Google Standard $4</t>
  </si>
  <si>
    <t>Railway Pro ($ / tháng, đã gồm $20 usage)</t>
  </si>
  <si>
    <t>Số ký tự TTS / job</t>
  </si>
  <si>
    <t>ký tự</t>
  </si>
  <si>
    <t>≈ 900 ký tự cho mỗi phút bot nói</t>
  </si>
  <si>
    <t>Phí Discord Premium Apps (% doanh thu)</t>
  </si>
  <si>
    <t>→ Speech / job</t>
  </si>
  <si>
    <t>→ Railway / ván thử</t>
  </si>
  <si>
    <t>→ Phí Discord / ván (theo giá ở tab 2)</t>
  </si>
  <si>
    <t>S5. INFRA</t>
  </si>
  <si>
    <t>→ Infra / ván</t>
  </si>
  <si>
    <t>Infra / job ($)</t>
  </si>
  <si>
    <t>Vector DB, embedding, storage, logging</t>
  </si>
  <si>
    <t>Railway chia theo ván + phí Discord 15% trên mỗi ván bán ra (bảng phụ F35:G40).</t>
  </si>
  <si>
    <t>Railway: railway.com/pricing (08/10/2026). GIẢ ĐỊNH app + Redis + Postgres dùng ≤ $20 usage (≈1 GB RAM $10 + 0,5 vCPU $10) — cần đối chiếu hóa đơn thật. Discord: 15% cho $1M doanh thu đầu, từ 06/06/2024 (discord.com/blog/feast-your-moniteyes-on-todays-exciting-developer-updates). Vector DB: không có — rulebook nằm trong prompt.</t>
  </si>
  <si>
    <t>Telephony ($ / phút)</t>
  </si>
  <si>
    <t>Không có điện thoại.</t>
  </si>
  <si>
    <t>→ Infra / job</t>
  </si>
  <si>
    <t>S6. RETRY</t>
  </si>
  <si>
    <t>Tỷ lệ job phải chạy lại</t>
  </si>
  <si>
    <t>ĐỪNG để 0%. Thực tế 5–10% là bình thường</t>
  </si>
  <si>
    <t>ƯỚC TÍNH 5%: code không gọi lại; lời gọi quá 3 giây chuyển sang lời dẫn mẫu nhưng token của lời gọi đó vẫn bị tính. Chưa đo tỷ lệ timeout.</t>
  </si>
  <si>
    <t>→ Retry / job</t>
  </si>
  <si>
    <t>S7. HITL — người trong vòng lặp</t>
  </si>
  <si>
    <t>Chi phí nhân sự ($ / giờ, fully-loaded)</t>
  </si>
  <si>
    <t>Gồm lương + bảo hiểm + quản lý + chỗ ngồi</t>
  </si>
  <si>
    <t>50.000 ₫/giờ ≈ 2 × lương tối thiểu giờ vùng I (25.500 ₫, NĐ 293/2025) để bù bảo hiểm, quản lý. Quy đổi theo tỷ giá B68.</t>
  </si>
  <si>
    <t>% hội thoại QA nội bộ</t>
  </si>
  <si>
    <t>Luôn có, kể cả Biến thể A</t>
  </si>
  <si>
    <t>Soát log 5% số ván (lời dẫn có sai sự kiện không, trợ lý luật có bịa không).</t>
  </si>
  <si>
    <t>Số phút QA / ca</t>
  </si>
  <si>
    <t>Đọc bản tổng kết sự kiện + lời dẫn của 1 ván ≈ 3 phút (ước tính).</t>
  </si>
  <si>
    <t>Số phút xử lý 1 ca escalate</t>
  </si>
  <si>
    <t>Biến thể A → không tính. Ô B55 cũng tự về 0.</t>
  </si>
  <si>
    <t>→ QA nội bộ / tháng</t>
  </si>
  <si>
    <t>→ Escalation / tháng (chỉ Biến thể B)</t>
  </si>
  <si>
    <t>Biến thể A → 0 vì khách tự chịu</t>
  </si>
  <si>
    <t>→ Tổng HITL / tháng</t>
  </si>
  <si>
    <t>S8. OVERHEAD (tuỳ chọn)</t>
  </si>
  <si>
    <t>R&amp;D + Sales phân bổ / tháng ($)</t>
  </si>
  <si>
    <t>Để 0 nếu chỉ muốn xem Cost/Job thuần COGS</t>
  </si>
  <si>
    <t>Đội 4 người chưa nhận lương, chưa phân bổ R&amp;D/Sales → 0. Cost/Job ở đây là COGS thuần.</t>
  </si>
  <si>
    <t>KẾT QUẢ</t>
  </si>
  <si>
    <t>Chi phí biến đổi / tháng (API + Speech + Infra + Retry)</t>
  </si>
  <si>
    <t>HITL / tháng</t>
  </si>
  <si>
    <t>Overhead / tháng</t>
  </si>
  <si>
    <t>TỔNG CHI PHÍ / tháng</t>
  </si>
  <si>
    <t>★ COST/JOB (chưa overhead)</t>
  </si>
  <si>
    <t>$/job</t>
  </si>
  <si>
    <t>Con số chảy sang tab 2_Pricing</t>
  </si>
  <si>
    <t>★ COST/JOB (có overhead)</t>
  </si>
  <si>
    <t>Tỷ giá (₫ / USD) — giả định</t>
  </si>
  <si>
    <t>₫/USD</t>
  </si>
  <si>
    <t>Thay bằng tỷ giá thực tế khi làm bài</t>
  </si>
  <si>
    <t>Vietcombank giá bán USD ngày 28/09/2026 (số mới nhất tìm được, webgia.com).</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</si>
  <si>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</si>
  <si>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</si>
  <si>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</si>
  <si>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</si>
  <si>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</si>
  <si>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</si>
  <si>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</si>
  <si>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</si>
  <si>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</si>
  <si>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</si>
  <si>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</si>
  <si>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</si>
  <si>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</si>
  <si>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</si>
  <si>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</si>
  <si>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</si>
  <si>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Giá bán ≥ 3 × Cost/Job</t>
  </si>
  <si>
    <t>→ GIÁ SÀN</t>
  </si>
  <si>
    <t>GIÁ TRẦN — NEO THEO THỨ KHÁCH ĐANG CHI</t>
  </si>
  <si>
    <t>NEO GIÁ — bảng phụ</t>
  </si>
  <si>
    <t>Giá trị khách tiết kiệm được / tháng ($)</t>
  </si>
  <si>
    <t>Neo theo giá trị</t>
  </si>
  <si>
    <t>Giá trị khách nhận = thời gian 1 người được giải phóng khỏi vai quản trò để vào chơi. Chưa có dữ liệu giá trị nào khác → dùng chung số với neo nhân công.</t>
  </si>
  <si>
    <t>Thời gian quản trò / ván (giờ, ước tính)</t>
  </si>
  <si>
    <t>Số job / tháng của 1 khách</t>
  </si>
  <si>
    <t>GIẢ ĐỊNH: 1 server chơi 30 ván/tháng (≈ 2 tối/tuần × 4 ván). Cần xác minh ở pilot tháng 1.</t>
  </si>
  <si>
    <t>Lương tối thiểu vùng I (₫ / giờ)</t>
  </si>
  <si>
    <t>→ Trần theo giá trị — mức 10%</t>
  </si>
  <si>
    <t>→ Chi phí thời gian quản trò / ván ($)</t>
  </si>
  <si>
    <t>→ Trần theo giá trị — mức 25%</t>
  </si>
  <si>
    <t>0,2 giờ ≈ 12 phút: 2 vòng × (đêm ≥ 30s + thảo luận 120s + bỏ phiếu 60s + trăn trối 30s) + mở màn, tổng kết. Thời gian lấy từ code (discussion.py, voting_view.py, lynch_execution.py, timer.py). Lương: Nghị định 293/2025/NĐ-CP, hiệu lực 01/01/2026.</t>
  </si>
  <si>
    <t>Lương / tháng của vị trí bị thay ($)</t>
  </si>
  <si>
    <t>Neo theo nhân công</t>
  </si>
  <si>
    <t>Không thuê quản trò cả tháng, chỉ trả phần thời gian 30 ván × 0,2 giờ, tính theo lương tối thiểu (mức thấp nhất hợp pháp).</t>
  </si>
  <si>
    <t>→ Trần theo nhân công — mức 50%</t>
  </si>
  <si>
    <t>→ Trần theo nhân công — mức 70%</t>
  </si>
  <si>
    <t>GIÁ BÁN CỦA BẠN</t>
  </si>
  <si>
    <t>GÓI BÁN</t>
  </si>
  <si>
    <t>★ Giá bán đề xuất ($ / job)</t>
  </si>
  <si>
    <t>Tham chiếu: Intercom Fin $0,99 · Zendesk $1,50</t>
  </si>
  <si>
    <t>Giá / ván = gói $3,99 / 30 ván ≈ $0,133. Nằm dưới trần 70% nhân công. Thấp hơn hẳn Friends &amp; Fables ($19,95/tháng) vì Ma Sói ván ngắn, ít lượt AI.</t>
  </si>
  <si>
    <t>Gói server ($ / tháng)</t>
  </si>
  <si>
    <t>→ Bội số so với Cost/Job</t>
  </si>
  <si>
    <t>Số ván hoàn thành trong gói</t>
  </si>
  <si>
    <t>→ GROSS MARGIN</t>
  </si>
  <si>
    <t>Phí vượt gói ($ / ván hoàn thành)</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</si>
  <si>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</si>
  <si>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</si>
  <si>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</si>
  <si>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</si>
  <si>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</si>
  <si>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</si>
  <si>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</si>
  <si>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</si>
  <si>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</si>
  <si>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Gross Margin mục tiêu</t>
  </si>
  <si>
    <t>★ Containment tối thiểu cần đạt</t>
  </si>
  <si>
    <t>Công thức: R ≥ (v+q+e) / (P×(1−GM)+e)</t>
  </si>
  <si>
    <t>Containment hiện tại (từ tab 1)</t>
  </si>
  <si>
    <t>→ Kết luận</t>
  </si>
  <si>
    <t>SENSITIVITY — mô hình gãy ở đâu?</t>
  </si>
  <si>
    <t>THEO KHỐI LƯỢNG — Railway là chi phí cố định</t>
  </si>
  <si>
    <t>Containment</t>
  </si>
  <si>
    <t>Cost/Job</t>
  </si>
  <si>
    <t>Gross Margin</t>
  </si>
  <si>
    <t>Đánh giá</t>
  </si>
  <si>
    <t>Ván thử / tháng</t>
  </si>
  <si>
    <t>→ Số ván thử tối thiểu / tháng để GM ≥ 60%</t>
  </si>
  <si>
    <t>→ Tương đương số server (30 ván)</t>
  </si>
  <si>
    <t>Nhìn cột Gross Margin: mô hình của bạn mong manh đến mức nào khi AI làm sai nhiều hơn dự kiến?</t>
  </si>
  <si>
    <t>5 CON SỐ PHẢI MANG SANG ONE-PAGER</t>
  </si>
  <si>
    <t>Giá sàn (3×)</t>
  </si>
  <si>
    <t>Giá bán đề xuất</t>
  </si>
  <si>
    <t>Breakeven containment</t>
  </si>
  <si>
    <t>TAB 3 — VALUE METRIC SCORECARD</t>
  </si>
  <si>
    <t>Trạm 2. Chấm 0 / 1 / 2 điểm cho mỗi câu, theo THỰC TẾ HÔM NAY.</t>
  </si>
  <si>
    <t>A. ATTRIBUTION — bạn đo được kết quả là do AI tạo ra không?</t>
  </si>
  <si>
    <t>1. Tôi có log đầy đủ mỗi job AI xử lý, gắn được với kết quả cuối cùng</t>
  </si>
  <si>
    <t>Engine lưu trạng thái ván (Redis/Postgres) nhưng log sự kiện từng ván (eventLogger) mới đang làm.</t>
  </si>
  <si>
    <t>2. Tôi có bộ eval đo được tỷ lệ AI làm đúng, có số liệu</t>
  </si>
  <si>
    <t>Eval Gate 2 (04/10/2026): độ chính xác nội dung AI 85,7% (12/14 bước), 724 unit test pass, coverage 94%.</t>
  </si>
  <si>
    <t>3. Khách hàng đồng ý với cách tôi định nghĩa 'thành công' của một job</t>
  </si>
  <si>
    <t>Chưa hỏi admin server nào về định nghĩa 'ván hoàn thành'.</t>
  </si>
  <si>
    <t>4. Tôi phân biệt được kết quả do AI tạo ra với kết quả do yếu tố khác</t>
  </si>
  <si>
    <t>Phân biệt được ván dừng do lỗi bot (log lỗi) nhưng chưa tách được ván dừng do người chơi tự bỏ.</t>
  </si>
  <si>
    <t>5. Tôi viết được định nghĩa chặt như Intercom: cái gì tính tiền, cái gì không</t>
  </si>
  <si>
    <t>Đã viết định nghĩa ở tab 1 B5: tính ván có công bố phe thắng; không tính ván hủy giữa chừng.</t>
  </si>
  <si>
    <t>→ ĐIỂM ATTRIBUTION (tối đa 10)</t>
  </si>
  <si>
    <t>B. AUTONOMY — AI tự chạy hay cần người?</t>
  </si>
  <si>
    <t>1. AI hoàn thành job từ đầu đến cuối, không cần người bấm nút giữa chừng</t>
  </si>
  <si>
    <t>Engine + AI điều hành cả ván; chủ phòng chỉ bấm Bắt đầu.</t>
  </si>
  <si>
    <t>2. Job chạy được ngoài giờ hành chính mà không ai trực</t>
  </si>
  <si>
    <t>Bot chạy 24/7 trên Railway, không cần người trực.</t>
  </si>
  <si>
    <t>3. Khi AI không chắc, nó tự chuyển tiếp đúng chỗ — không cần người phân loại</t>
  </si>
  <si>
    <t>LLM quá 3 giây thì tự dùng lời dẫn mẫu. Nhưng MT-01: trợ lý luật bịa vai Thám Tử thay vì từ chối (BUG-QA-013).</t>
  </si>
  <si>
    <t>4. Tỷ lệ ca phải có người can thiệp dưới 20%</t>
  </si>
  <si>
    <t>Chưa đo tỷ lệ ván cần người can thiệp. Ước tính từ eval: 2/14 bước nội dung AI sai.</t>
  </si>
  <si>
    <t>5. Người vận hành chỉ kiểm tra mẫu (QA), không xử lý từng ca</t>
  </si>
  <si>
    <t>Người vận hành chỉ soát log mẫu (tab 1: 5% số ván).</t>
  </si>
  <si>
    <t>→ ĐIỂM AUTONOMY (tối đa 10)</t>
  </si>
  <si>
    <t>GỢI Ý CỦA MODEL</t>
  </si>
  <si>
    <t>→ Value Metric gợi ý</t>
  </si>
  <si>
    <t>Ngưỡng 7/10 là quy ước của bài tập, không phải chuẩn ngành — dùng để buộc bạn ra quyết định, không phải để thay bạn quyết định.</t>
  </si>
  <si>
    <t>BENCHMARK NGƯỢC — 2 sản phẩm thật cùng loại job</t>
  </si>
  <si>
    <t>Tên sản phẩm</t>
  </si>
  <si>
    <t>Value Metric</t>
  </si>
  <si>
    <t>Giá công bố</t>
  </si>
  <si>
    <t>Link nguồn</t>
  </si>
  <si>
    <t>Friends &amp; Fables (AI Game Master trên Discord)</t>
  </si>
  <si>
    <t>Hybrid: gói tháng + giới hạn lượt ở bản Free (1 lượt = 1 tin AI gửi)</t>
  </si>
  <si>
    <t>Free 25 lượt/ngày · Starter $19,95 · Pro $29,95 · Legend $39,95 /tháng; bạn bè chơi miễn phí</t>
  </si>
  <si>
    <t>https://fables.gg/pricing (mở 08/10/2026)</t>
  </si>
  <si>
    <t>AI Dungeon (AI kể chuyện nhập vai)</t>
  </si>
  <si>
    <t>Seat: gói thành viên theo tháng</t>
  </si>
  <si>
    <t>Adventurer $9,99 · Champion $14,99 · Legend $29,99 · Mythic $49,99 /tháng</t>
  </si>
  <si>
    <t>https://play.aidungeon.com/pricing — trang dùng JS, không đọc được trực tiếp; giá lấy từ trang membership của Latitude qua tìm kiếm 08/10/2026, cần mở tay kiểm tra</t>
  </si>
  <si>
    <t>QUYẾT ĐỊNH CUỐI</t>
  </si>
  <si>
    <t>Value Metric tôi chọn</t>
  </si>
  <si>
    <t>Hybrid</t>
  </si>
  <si>
    <t>Nếu KHÁC gợi ý — lý do thị trường là gì?</t>
  </si>
  <si>
    <t>Model gợi ý Usage (an toàn) vì Attribution chỉ 6/10. Chọn Hybrid vì thói quen trả tiền của thị trường: bot Discord và AI quản trò (Friends &amp; Fables, AI Dungeon) đều bán gói tháng; Discord Premium Apps cũng bán theo subscription. Tính tiền lẻ từng ván ~3.500 ₫ tạo ma sát thanh toán lớn hơn giá trị. Phần vượt gói vẫn tính theo ván nên chi phí và doanh thu đi cùng chiều.</t>
  </si>
  <si>
    <t>Decision Note — câu 1: tôi chọn đơn vị nào?</t>
  </si>
  <si>
    <t>Gói $3,99 / server / tháng gồm 30 ván hoàn thành; vượt gói tính $0,133 / ván hoàn thành. Phí nền mua đúng 30 ván, không phải chỗ ngồi.</t>
  </si>
  <si>
    <t>Decision Note — câu 2: bằng chứng Attribution / Autonomy?</t>
  </si>
  <si>
    <t>Attribution 6/10: đếm được ván hoàn thành nhưng chưa đo tỷ lệ thật và chưa hỏi khách. Autonomy 8/10: engine + AI tự chạy cả ván, có lời dẫn mẫu khi LLM chậm; eval Gate 2: 85,7% nội dung AI đúng, các ca luồng chơi MT-03/04/05 PASS 2/2 lần.</t>
  </si>
  <si>
    <t>Decision Note — câu 3: mô hình này lỗ trong tình huống nào?</t>
  </si>
  <si>
    <t>Lỗ khi server dùng ít ván nhưng hỏi luật nhiều (mỗi câu ~8.500 token), hoặc khi tổng số ván thấp khiến phí Railway cố định chia cho quá ít ván (xem tab 2, bảng theo khối lượng).</t>
  </si>
  <si>
    <t>TAB 4 — CHANNEL FIT &amp; AFFORDABILITY TEST</t>
  </si>
  <si>
    <t>Trạm 4. Chọn ĐÚNG 1 kênh cho 90 ngày đầu — và chứng minh bằng số.</t>
  </si>
  <si>
    <t>A. NGÂN SÁCH CAC — bạn nuôi nổi kênh nào?</t>
  </si>
  <si>
    <t>ARPU / tháng ($)</t>
  </si>
  <si>
    <t>ARPU = giá gói $3,99/tháng. Chưa cộng phí vượt gói (thận trọng).</t>
  </si>
  <si>
    <t>Gross Margin (từ tab 2_Pricing)</t>
  </si>
  <si>
    <t>Phân khúc (SMB / Mid / Enterprise)</t>
  </si>
  <si>
    <t>SMB</t>
  </si>
  <si>
    <t>Khách là admin server cộng đồng (cá nhân/nhóm nhỏ) → gần nhất với SMB, payback 12 tháng.</t>
  </si>
  <si>
    <t>→ CAC payback cho phép (tháng)</t>
  </si>
  <si>
    <t>tháng</t>
  </si>
  <si>
    <t>Bessemer, Scaling to $100M (2024)</t>
  </si>
  <si>
    <t>★ NGÂN SÁCH CAC / khách</t>
  </si>
  <si>
    <t>ARPU × GM × số tháng payback</t>
  </si>
  <si>
    <t>→ ACV (giá trị hợp đồng / năm)</t>
  </si>
  <si>
    <t>B. SALES VIABILITY — một AE phải chốt bao nhiêu deal?</t>
  </si>
  <si>
    <t>Quota / AE / năm ($)</t>
  </si>
  <si>
    <t>Giả định gốc của Tunguz (2016) — thay bằng số thị trường bạn</t>
  </si>
  <si>
    <t>Giữ giả định gốc Tunguz (2016). Có giảm quota 10 lần thì vẫn &gt; 4 deal/ngày → kết luận không đổi.</t>
  </si>
  <si>
    <t>Số ngày làm việc / năm</t>
  </si>
  <si>
    <t>ngày</t>
  </si>
  <si>
    <t>→ Số deal / AE / năm</t>
  </si>
  <si>
    <t>★ Số deal / AE / NGÀY</t>
  </si>
  <si>
    <t>deal/ngày</t>
  </si>
  <si>
    <t>→ Kết luận Sales-Led</t>
  </si>
  <si>
    <t>C. ĐỐI CHIẾU CAC THỰC TẾ CỦA MOTION CÓ SALES</t>
  </si>
  <si>
    <t>Cost per opportunity ($)</t>
  </si>
  <si>
    <t>ICONIQ 2026 theo phân khúc: $6.300 · $8.000 · $11.200</t>
  </si>
  <si>
    <t>Mức thấp nhất của ICONIQ 2026 — thuận lợi nhất cho Sales-Led mà vẫn không khả thi.</t>
  </si>
  <si>
    <t>Win rate</t>
  </si>
  <si>
    <t>Theo ví dụ trong đề lab (win rate 25%). Nhóm chưa có số liệu bán hàng.</t>
  </si>
  <si>
    <t>→ CAC thực tế ước tính / khách</t>
  </si>
  <si>
    <t>★ Lệch bao nhiêu lần so với ngân sách CAC?</t>
  </si>
  <si>
    <t>Đây là bằng chứng chọn kênh của bạn</t>
  </si>
  <si>
    <t>D. CHẤM ĐIỂM 3 KÊNH (1 = rất kém, 5 = rất tốt)</t>
  </si>
  <si>
    <t>Tiêu chí</t>
  </si>
  <si>
    <t>PLG</t>
  </si>
  <si>
    <t>Sales-Led</t>
  </si>
  <si>
    <t>Partner-Led</t>
  </si>
  <si>
    <t>1. Ngân sách CAC của tôi nuôi nổi kênh này</t>
  </si>
  <si>
    <t>PLG gần như không tốn CAC; sales cần ~$25.200/khách so với ngân sách ~$30.</t>
  </si>
  <si>
    <t>2. Khách hàng mục tiêu thực sự mua theo cách này</t>
  </si>
  <si>
    <t>Người dùng Discord tự cài bot, tự mua gói ngay trong Discord.</t>
  </si>
  <si>
    <t>3. Đội hiện tại có năng lực chạy kênh này ngay</t>
  </si>
  <si>
    <t>Đội đã có bot chạy trên Discord; chưa có người làm sales, chưa có partner.</t>
  </si>
  <si>
    <t>4. Tôi tiếp cận được điểm nhúng / partner trong 30 ngày</t>
  </si>
  <si>
    <t>Đăng App Directory cần đủ điều kiện xét duyệt của Discord (chưa kiểm tra) → 3.</t>
  </si>
  <si>
    <t>5. Kênh này đưa tôi đến ĐÚNG Pain Moment</t>
  </si>
  <si>
    <t>Pain moment xảy ra ngay trong Discord (xem tab 5).</t>
  </si>
  <si>
    <t>6. Tôi đo được hiệu quả trong vòng 90 ngày</t>
  </si>
  <si>
    <t>Đo được số server cài, số ván, tỷ lệ mua gói qua log bot.</t>
  </si>
  <si>
    <t>→ TỔNG ĐIỂM</t>
  </si>
  <si>
    <t>→ Kênh điểm cao nhất</t>
  </si>
  <si>
    <t>E. CHỐT KÊNH</t>
  </si>
  <si>
    <t>★ Kênh tôi chọn cho 90 ngày đầu</t>
  </si>
  <si>
    <t>ĐÚNG 1 kênh. Chọn 2 kênh trở lên bị trừ điểm.</t>
  </si>
  <si>
    <t>PLG qua Discord App Directory + Discord Premium Apps.</t>
  </si>
  <si>
    <t>Nếu Partner-Led: TÊN CÔNG TY partner</t>
  </si>
  <si>
    <t>Không áp dụng — chọn PLG</t>
  </si>
  <si>
    <t>'Các nền tảng trong ngành' = chưa có kênh</t>
  </si>
  <si>
    <t>Đã nói chuyện với họ chưa? (Rồi / Chưa)</t>
  </si>
  <si>
    <t>Không áp dụng</t>
  </si>
  <si>
    <t>Bạn mang lại giá trị gì cho partner?</t>
  </si>
  <si>
    <t>Nếu rơi vào vùng không khả thi — lối thoát nào?</t>
  </si>
  <si>
    <t>Giảm giá để tự phục vụ: gói $3,99 mua thẳng trong Discord, không cần ai tư vấn. Bản miễn phí chỉ dùng lời dẫn mẫu (không gọi LLM) để không tốn chi phí AI; 30 ngày tới mời 5 server dùng thử và đo tỷ lệ ván hoàn thành.</t>
  </si>
  <si>
    <t>Giảm giá để tự phục vụ / tăng giá + service / Partner-Led</t>
  </si>
  <si>
    <t>TAB 5 — PAIN MOMENT · 90-DAY PLAN · EVIDENCE PACK</t>
  </si>
  <si>
    <t>Trạm 5 và Trạm 6.</t>
  </si>
  <si>
    <t>A. PAIN MOMENT — phải đủ 3 phần</t>
  </si>
  <si>
    <t>MẤY GIỜ khách đau nhất?</t>
  </si>
  <si>
    <t>Khoảng 20h–23h tối (GIẢ ĐỊNH — xác minh bằng giờ tạo phòng trong log pilot tháng 1)</t>
  </si>
  <si>
    <t>Lúc đó họ ĐANG LÀM GÌ?</t>
  </si>
  <si>
    <t>Nhóm 5–12 người đang trong server muốn mở ván Ma Sói, nhưng phải có 1 người ngồi ngoài làm quản trò, không được chơi, dễ dẫn sai luật</t>
  </si>
  <si>
    <t>Họ đang DÙNG APP / KÊNH NÀO?</t>
  </si>
  <si>
    <t>Discord (kênh text + voice của server)</t>
  </si>
  <si>
    <t>→ Điểm nhúng cụ thể của bạn</t>
  </si>
  <si>
    <t>Slash command /ma-soi của bot trong chính server Discord; cài từ Discord App Directory; mua gói qua Discord Premium Apps</t>
  </si>
  <si>
    <t>Một bề mặt tích hợp có tên, không phải 'website của chúng tôi'</t>
  </si>
  <si>
    <t>B. 90-DAY PLAN</t>
  </si>
  <si>
    <t>THÁNG 1 — Học</t>
  </si>
  <si>
    <t>THÁNG 2–3 — Đòn bẩy</t>
  </si>
  <si>
    <t>THÁNG 4+ — Mở rộng</t>
  </si>
  <si>
    <t>Kênh sử dụng</t>
  </si>
  <si>
    <t>PLG thủ công: tự mời bot vào server</t>
  </si>
  <si>
    <t>Discord App Directory</t>
  </si>
  <si>
    <t>Discord App Directory + server cộng đồng board game</t>
  </si>
  <si>
    <t>Mục tiêu số khách</t>
  </si>
  <si>
    <t>5 server dùng miễn phí</t>
  </si>
  <si>
    <t>20 server trả phí (600 ván/tháng)</t>
  </si>
  <si>
    <t>100 server trả phí (3.000 ván/tháng)</t>
  </si>
  <si>
    <t>Việc cụ thể 1</t>
  </si>
  <si>
    <t>Bật eventLogger: đo tỷ lệ ván hoàn thành, số vòng/ván, số câu hỏi luật/ván</t>
  </si>
  <si>
    <t>Đăng App Directory, bật gói $3,99 qua Premium Apps</t>
  </si>
  <si>
    <t>Thử ngách quán board game / CLB Ma Sói offline với bản giọng đọc (TTS)</t>
  </si>
  <si>
    <t>Việc cụ thể 2</t>
  </si>
  <si>
    <t>Phỏng vấn 5 admin: có trả $3,99/tháng không, định nghĩa 'ván hoàn thành' có đúng không</t>
  </si>
  <si>
    <t>Bản miễn phí dùng lời dẫn mẫu (không gọi LLM), giới hạn số ván</t>
  </si>
  <si>
    <t>Chỉ mở rộng khi tỷ lệ ván hoàn thành ≥ ngưỡng breakeven ở tab 2</t>
  </si>
  <si>
    <t>Việc cụ thể 3</t>
  </si>
  <si>
    <t>Lấy hóa đơn OpenAI + Railway thật, thay các ô ước tính ở tab 1</t>
  </si>
  <si>
    <t>Sửa BUG-QA-012/013; trợ lý luật chỉ gửi đoạn luật liên quan (RAG) thay vì cả rulebook</t>
  </si>
  <si>
    <t>Viết Pilot Report thứ 2 cho ngách mới</t>
  </si>
  <si>
    <t>KPI đo được</t>
  </si>
  <si>
    <t>≥ 30 ván hoàn thành có log; 5 phỏng vấn; completion rate đo được</t>
  </si>
  <si>
    <t>20 server trả phí; tỷ lệ miễn phí → trả phí; token/ván giảm</t>
  </si>
  <si>
    <t>100 server trả phí; GM ≥ 60% theo hóa đơn thật</t>
  </si>
  <si>
    <t>Người chịu trách nhiệm</t>
  </si>
  <si>
    <t>Điền (eventLogger) · Nhung (phỏng vấn) · Chinh (chi phí AI) · Sơn (tìm server)</t>
  </si>
  <si>
    <t>Sơn (App Directory) · Chinh (RAG, sửa bug AI) · Điền (gói trả phí)</t>
  </si>
  <si>
    <t>Nhung (Pilot Report) · Sơn (ngách offline)</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</si>
  <si>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</si>
  <si>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</si>
  <si>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</si>
  <si>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</si>
  <si>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</si>
  <si>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</si>
  <si>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 xml:space="preserve">1. Eval Results </t>
  </si>
  <si>
    <t>Rồi (một phần)</t>
  </si>
  <si>
    <t>Gate 2: 85,7% nội dung AI đúng (12/14), 724 test pass, hài lòng 4,6/5 (5 người). Thiếu: tỷ lệ ván hoàn thành.</t>
  </si>
  <si>
    <t>Bổ sung completion rate: Điền · 08/11/2026</t>
  </si>
  <si>
    <t xml:space="preserve">2. Risk Checklist </t>
  </si>
  <si>
    <t>Chưa</t>
  </si>
  <si>
    <t>Trả lời bằng văn bản 3 câu: AI có bịa không (có lỗi BUG-QA-013, đang sửa); dữ liệu có bị dùng huấn luyện model không; dừng dịch vụ thì dữ liệu ván ở đâu, xóa thế nào.</t>
  </si>
  <si>
    <t>Nhung · 22/10/2026</t>
  </si>
  <si>
    <t>3. Pilot Report</t>
  </si>
  <si>
    <t>Pilot 5 server trong tháng 1: số ván, tỷ lệ hoàn thành, phản hồi admin, chi phí thật / ván.</t>
  </si>
  <si>
    <t>Sơn + Nhung · 08/11/2026</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</si>
  <si>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</si>
  <si>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</si>
  <si>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</si>
  <si>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Chưa test</t>
  </si>
  <si>
    <t>Họ trả lời được: có lãi trên mỗi đơn vị không, số nào chứng minh? (Được/Không)</t>
  </si>
  <si>
    <t>Họ trả lời được: tiếp cận khách qua đâu, vì sao kênh đó? (Được/Không)</t>
  </si>
  <si>
    <t>Số câu họ phải hỏi lại (mục tiêu ≤ 3)</t>
  </si>
  <si>
    <t>Chưa test — nhờ nhóm khác đọc One-Pager trước khi nộp</t>
  </si>
  <si>
    <t>TAB 6 — BENCHMARKS (CHỈ ĐỌC)</t>
  </si>
  <si>
    <t>Giá chốt ngày 26/08/2026. Dòng có ⏳ là GIÁ KHUYẾN MẠI CÓ HẠN — phải kiểm tra lại.</t>
  </si>
  <si>
    <t>NGÀY BẠN KIỂM TRA LẠI GIÁ</t>
  </si>
  <si>
    <t>08/10/2026</t>
  </si>
  <si>
    <t>Bắt buộc điền — Rubric có chấm mục này</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</si>
  <si>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</si>
  <si>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</si>
  <si>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</si>
  <si>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</si>
  <si>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</si>
  <si>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</si>
  <si>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</si>
  <si>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</si>
  <si>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</si>
  <si>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</si>
  <si>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</si>
  <si>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</si>
  <si>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</si>
  <si>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</si>
  <si>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</si>
  <si>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</si>
  <si>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</si>
  <si>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</si>
  <si>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</si>
  <si>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</si>
  <si>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</si>
  <si>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</si>
  <si>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</si>
  <si>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</si>
  <si>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</si>
  <si>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</si>
  <si>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</si>
  <si>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</si>
  <si>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</si>
  <si>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</si>
  <si>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</si>
  <si>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</si>
  <si>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</si>
  <si>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</si>
  <si>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</si>
  <si>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</si>
  <si>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</si>
  <si>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</si>
  <si>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</si>
  <si>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</si>
  <si>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</si>
  <si>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</si>
  <si>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</si>
  <si>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</si>
  <si>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</si>
  <si>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</si>
  <si>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</si>
  <si>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</si>
  <si>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</si>
  <si>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</si>
  <si>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</si>
  <si>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</si>
  <si>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</si>
  <si>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</si>
  <si>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</si>
  <si>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</si>
  <si>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</si>
  <si>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</si>
  <si>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</si>
  <si>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</si>
  <si>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</si>
  <si>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</si>
  <si>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</si>
  <si>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</si>
  <si>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</si>
  <si>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</si>
  <si>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</si>
  <si>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</si>
  <si>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</si>
  <si>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</si>
  <si>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</si>
  <si>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</si>
  <si>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</si>
  <si>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</si>
  <si>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</si>
  <si>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</si>
  <si>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</si>
  <si>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</si>
  <si>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</si>
  <si>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</si>
  <si>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</si>
  <si>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</si>
  <si>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</si>
  <si>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</si>
  <si>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</si>
  <si>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</si>
  <si>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</si>
  <si>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</si>
  <si>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</si>
  <si>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</si>
  <si>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</si>
  <si>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</si>
  <si>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</si>
  <si>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</si>
  <si>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</si>
  <si>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</si>
  <si>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</si>
  <si>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</si>
  <si>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</si>
  <si>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</si>
  <si>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</si>
  <si>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</si>
  <si>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</si>
  <si>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</si>
  <si>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</si>
  <si>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</si>
  <si>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</si>
  <si>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</si>
  <si>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</si>
  <si>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</si>
  <si>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</si>
  <si>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</si>
  <si>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</si>
  <si>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</si>
  <si>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</si>
  <si>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</si>
  <si>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</si>
  <si>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</si>
  <si>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</si>
  <si>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</si>
  <si>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</si>
  <si>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</si>
  <si>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</si>
  <si>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</si>
  <si>
    <t>Lưu ý: trang marketing của nhà cung cấp có thể hiển thị giá cũ hơn trang docs. Ưu tiên trang docs / pricing chính thức.</t>
  </si>
  <si>
    <t>GIÁ ĐÃ KIỂM TRA LẠI CHO SẢN PHẨM NÀY (08/10/2026)</t>
  </si>
  <si>
    <t>OpenAI gpt-4o-mini — input / cached / output</t>
  </si>
  <si>
    <t>0,15 / 0,075 / 0,60</t>
  </si>
  <si>
    <t>developers.openai.com/api/docs/pricing (Batch 0,075 / 0,30)</t>
  </si>
  <si>
    <t>Railway Pro</t>
  </si>
  <si>
    <t>20 (gồm 20 usage)</t>
  </si>
  <si>
    <t>$ / tháng</t>
  </si>
  <si>
    <t>railway.com/pricing — RAM ~10 $/GB, CPU ~20 $/vCPU</t>
  </si>
  <si>
    <t>Phí kênh</t>
  </si>
  <si>
    <t>Discord Premium Apps</t>
  </si>
  <si>
    <t>15% ($1M đầu), sau đó 30%</t>
  </si>
  <si>
    <t>% doanh thu</t>
  </si>
  <si>
    <t>discord.com/blog/feast-your-moniteyes-on-todays-exciting-developer-updates (06/2024)</t>
  </si>
  <si>
    <t>Lương</t>
  </si>
  <si>
    <t>Lương tối thiểu vùng I 2026</t>
  </si>
  <si>
    <t>25.500 / giờ · 5.310.000 / tháng</t>
  </si>
  <si>
    <t>₫</t>
  </si>
  <si>
    <t>Nghị định 293/2025/NĐ-CP, hiệu lực 01/01/2026</t>
  </si>
  <si>
    <t>Tỷ giá</t>
  </si>
  <si>
    <t>Vietcombank bán USD (28/09/2026)</t>
  </si>
  <si>
    <t>26.170</t>
  </si>
  <si>
    <t>₫ / USD</t>
  </si>
  <si>
    <t>webgia.com/ty-gia/vietcombank/28-09-2026.html</t>
  </si>
  <si>
    <t>Friends &amp; Fables</t>
  </si>
  <si>
    <t>19,95 / 29,95 / 39,95</t>
  </si>
  <si>
    <t>fables.gg/pricing</t>
  </si>
  <si>
    <t>AI Dungeon</t>
  </si>
  <si>
    <t>9,99 / 14,99 / 29,99 / 49,99</t>
  </si>
  <si>
    <t>Chưa mở được trang giá chính (JS) — số từ tìm kiếm, cần kiểm tra 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</si>
</sst>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0"/>
    <numFmt numFmtId="166" formatCode="#,##0.0"/>
    <numFmt numFmtId="167" formatCode="\$#,##0.00"/>
    <numFmt numFmtId="168" formatCode="\$#,##0"/>
    <numFmt numFmtId="169" formatCode="#,##0.0\×"/>
    <numFmt numFmtId="170" formatCode="#,##0&quot; ₫&quot;"/>
    <numFmt numFmtId="171" formatCode="\$0.0000"/>
  </numFmts>
  <fonts count="14" x14ac:knownFonts="1">
    <font>
      <sz val="11"/>
      <color theme="1"/>
      <name val="Calibri"/>
      <scheme val="minor"/>
    </font>
    <font>
      <b/>
      <sz val="14"/>
      <color rgb="FFFFFFFF"/>
      <name val="Arial"/>
      <family val="2"/>
    </font>
    <font>
      <sz val="11"/>
      <color theme="1"/>
      <name val="Calibri"/>
      <family val="2"/>
    </font>
    <font>
      <i/>
      <sz val="9"/>
      <color rgb="FF666666"/>
      <name val="Arial"/>
      <family val="2"/>
    </font>
    <font>
      <b/>
      <sz val="11"/>
      <color rgb="FF1F2937"/>
      <name val="Arial"/>
      <family val="2"/>
    </font>
    <font>
      <sz val="10"/>
      <color rgb="FF0000FF"/>
      <name val="Arial"/>
      <family val="2"/>
    </font>
    <font>
      <sz val="10"/>
      <color theme="1"/>
      <name val="Arial"/>
      <family val="2"/>
    </font>
    <font>
      <sz val="10"/>
      <color rgb="FF008000"/>
      <name val="Arial"/>
      <family val="2"/>
    </font>
    <font>
      <b/>
      <sz val="10"/>
      <color theme="1"/>
      <name val="Arial"/>
      <family val="2"/>
    </font>
    <font>
      <b/>
      <sz val="11"/>
      <color rgb="FFC00000"/>
      <name val="Arial"/>
      <family val="2"/>
    </font>
    <font>
      <b/>
      <sz val="10"/>
      <color rgb="FFFFFFFF"/>
      <name val="Arial"/>
      <family val="2"/>
    </font>
    <font>
      <i/>
      <sz val="9"/>
      <color rgb="FF555555"/>
      <name val="Arial"/>
      <family val="2"/>
    </font>
    <font>
      <b/>
      <sz val="10"/>
      <name val="Arial"/>
      <family val="2"/>
    </font>
    <font>
      <sz val="10"/>
      <color rgb="FF000000"/>
      <name val="Arial"/>
      <family val="2"/>
    </font>
  </fonts>
  <fills count="10">
    <fill>
      <patternFill patternType="none"/>
    </fill>
    <fill>
      <patternFill patternType="gray125"/>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
      <patternFill patternType="solid">
        <fgColor rgb="FFFFF2CC"/>
      </patternFill>
    </fill>
    <fill>
      <patternFill patternType="solid">
        <fgColor rgb="FFE8EAF6"/>
      </patternFill>
    </fill>
    <fill>
      <patternFill patternType="solid">
        <fgColor rgb="FFF2F2F2"/>
      </patternFill>
    </fill>
  </fills>
  <borders count="3">
    <border>
      <left/>
      <right/>
      <top/>
      <bottom/>
      <diagonal/>
    </border>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9">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0" borderId="0" xfId="0" applyFont="1"/>
    <xf numFmtId="0" fontId="5" fillId="3" borderId="2" xfId="0" applyFont="1" applyFill="1" applyBorder="1"/>
    <xf numFmtId="0" fontId="6" fillId="0" borderId="0" xfId="0" applyFont="1"/>
    <xf numFmtId="0" fontId="4" fillId="4" borderId="1" xfId="0" applyFont="1" applyFill="1" applyBorder="1"/>
    <xf numFmtId="0" fontId="6" fillId="5" borderId="2" xfId="0" applyFont="1" applyFill="1" applyBorder="1"/>
    <xf numFmtId="0" fontId="7" fillId="0" borderId="2" xfId="0" applyFont="1" applyBorder="1"/>
    <xf numFmtId="0" fontId="2" fillId="4" borderId="1" xfId="0" applyFont="1" applyFill="1" applyBorder="1"/>
    <xf numFmtId="0" fontId="6" fillId="6" borderId="2" xfId="0" applyFont="1" applyFill="1" applyBorder="1"/>
    <xf numFmtId="0" fontId="8" fillId="0" borderId="0" xfId="0" applyFont="1"/>
    <xf numFmtId="3" fontId="9" fillId="5" borderId="2" xfId="0" applyNumberFormat="1" applyFont="1" applyFill="1" applyBorder="1"/>
    <xf numFmtId="3" fontId="6" fillId="5" borderId="2" xfId="0" applyNumberFormat="1" applyFont="1" applyFill="1" applyBorder="1"/>
    <xf numFmtId="165" fontId="7" fillId="5" borderId="2" xfId="0" applyNumberFormat="1" applyFont="1" applyFill="1" applyBorder="1"/>
    <xf numFmtId="165" fontId="9" fillId="5" borderId="2" xfId="0" applyNumberFormat="1" applyFont="1" applyFill="1" applyBorder="1"/>
    <xf numFmtId="165" fontId="6" fillId="5" borderId="2" xfId="0" applyNumberFormat="1" applyFont="1" applyFill="1" applyBorder="1"/>
    <xf numFmtId="0" fontId="9" fillId="5" borderId="2" xfId="0" applyFont="1" applyFill="1" applyBorder="1"/>
    <xf numFmtId="0" fontId="8" fillId="6" borderId="2" xfId="0" applyFont="1" applyFill="1" applyBorder="1"/>
    <xf numFmtId="164" fontId="6" fillId="5" borderId="2" xfId="0" applyNumberFormat="1" applyFont="1" applyFill="1" applyBorder="1"/>
    <xf numFmtId="169" fontId="6" fillId="5" borderId="2" xfId="0" applyNumberFormat="1" applyFont="1" applyFill="1" applyBorder="1"/>
    <xf numFmtId="164" fontId="9" fillId="5" borderId="2" xfId="0" applyNumberFormat="1" applyFont="1" applyFill="1" applyBorder="1"/>
    <xf numFmtId="167" fontId="6" fillId="5" borderId="2" xfId="0" applyNumberFormat="1" applyFont="1" applyFill="1" applyBorder="1"/>
    <xf numFmtId="167" fontId="9" fillId="5" borderId="2" xfId="0" applyNumberFormat="1" applyFont="1" applyFill="1" applyBorder="1"/>
    <xf numFmtId="164" fontId="7" fillId="5" borderId="2" xfId="0" applyNumberFormat="1" applyFont="1" applyFill="1" applyBorder="1"/>
    <xf numFmtId="168" fontId="9" fillId="5" borderId="2" xfId="0" applyNumberFormat="1" applyFont="1" applyFill="1" applyBorder="1"/>
    <xf numFmtId="170" fontId="6" fillId="5" borderId="2" xfId="0" applyNumberFormat="1" applyFont="1" applyFill="1" applyBorder="1"/>
    <xf numFmtId="168" fontId="6" fillId="5" borderId="2" xfId="0" applyNumberFormat="1" applyFont="1" applyFill="1" applyBorder="1"/>
    <xf numFmtId="4" fontId="9" fillId="5" borderId="2" xfId="0" applyNumberFormat="1" applyFont="1" applyFill="1" applyBorder="1"/>
    <xf numFmtId="169" fontId="9" fillId="5" borderId="2" xfId="0" applyNumberFormat="1" applyFont="1" applyFill="1" applyBorder="1"/>
    <xf numFmtId="164" fontId="6" fillId="6" borderId="2" xfId="0" applyNumberFormat="1" applyFont="1" applyFill="1" applyBorder="1"/>
    <xf numFmtId="0" fontId="10" fillId="2" borderId="2" xfId="0" applyFont="1" applyFill="1" applyBorder="1"/>
    <xf numFmtId="0" fontId="6" fillId="6" borderId="2" xfId="0" applyFont="1" applyFill="1" applyBorder="1" applyAlignment="1">
      <alignment vertical="top"/>
    </xf>
    <xf numFmtId="0" fontId="3" fillId="6" borderId="2" xfId="0" applyFont="1" applyFill="1" applyBorder="1" applyAlignment="1">
      <alignment vertical="top" wrapText="1"/>
    </xf>
    <xf numFmtId="0" fontId="5" fillId="7" borderId="2" xfId="0" applyFont="1" applyFill="1" applyBorder="1"/>
    <xf numFmtId="0" fontId="11" fillId="0" borderId="0" xfId="0" applyFont="1" applyAlignment="1">
      <alignment vertical="top" wrapText="1"/>
    </xf>
    <xf numFmtId="0" fontId="5" fillId="7" borderId="2" xfId="0" applyFont="1" applyFill="1" applyBorder="1" applyAlignment="1">
      <alignment horizontal="center"/>
    </xf>
    <xf numFmtId="3" fontId="5" fillId="7" borderId="2" xfId="0" applyNumberFormat="1" applyFont="1" applyFill="1" applyBorder="1"/>
    <xf numFmtId="164" fontId="5" fillId="7" borderId="2" xfId="0" applyNumberFormat="1" applyFont="1" applyFill="1" applyBorder="1"/>
    <xf numFmtId="0" fontId="12" fillId="8" borderId="1" xfId="0" applyFont="1" applyFill="1" applyBorder="1"/>
    <xf numFmtId="167" fontId="5" fillId="7" borderId="2" xfId="0" applyNumberFormat="1" applyFont="1" applyFill="1" applyBorder="1"/>
    <xf numFmtId="0" fontId="12" fillId="8" borderId="0" xfId="0" applyFont="1" applyFill="1"/>
    <xf numFmtId="0" fontId="13" fillId="0" borderId="0" xfId="0" applyFont="1"/>
    <xf numFmtId="0" fontId="5" fillId="7" borderId="0" xfId="0" applyFont="1" applyFill="1"/>
    <xf numFmtId="0" fontId="13" fillId="9" borderId="0" xfId="0" applyFont="1" applyFill="1"/>
    <xf numFmtId="0" fontId="13" fillId="4" borderId="1" xfId="0" applyFont="1" applyFill="1" applyBorder="1"/>
    <xf numFmtId="164" fontId="13" fillId="9" borderId="1" xfId="0" applyNumberFormat="1" applyFont="1" applyFill="1" applyBorder="1"/>
    <xf numFmtId="165" fontId="5" fillId="7" borderId="2" xfId="0" applyNumberFormat="1" applyFont="1" applyFill="1" applyBorder="1"/>
    <xf numFmtId="166" fontId="5" fillId="7" borderId="2" xfId="0" applyNumberFormat="1" applyFont="1" applyFill="1" applyBorder="1"/>
    <xf numFmtId="9" fontId="5" fillId="7" borderId="0" xfId="0" applyNumberFormat="1" applyFont="1" applyFill="1"/>
    <xf numFmtId="0" fontId="13" fillId="9" borderId="1" xfId="0" applyFont="1" applyFill="1" applyBorder="1"/>
    <xf numFmtId="168" fontId="5" fillId="7" borderId="2" xfId="0" applyNumberFormat="1" applyFont="1" applyFill="1" applyBorder="1"/>
    <xf numFmtId="171" fontId="13" fillId="9" borderId="0" xfId="0" applyNumberFormat="1" applyFont="1" applyFill="1"/>
    <xf numFmtId="164" fontId="13" fillId="9" borderId="0" xfId="0" applyNumberFormat="1" applyFont="1" applyFill="1"/>
    <xf numFmtId="3" fontId="13" fillId="9" borderId="0" xfId="0" applyNumberFormat="1" applyFont="1" applyFill="1"/>
    <xf numFmtId="0" fontId="5" fillId="7" borderId="2" xfId="0" applyFont="1" applyFill="1" applyBorder="1" applyAlignment="1">
      <alignment vertical="top" wrapText="1"/>
    </xf>
    <xf numFmtId="0" fontId="11"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16" workbookViewId="0"/>
  </sheetViews>
  <sheetFormatPr defaultColWidth="14.453125" defaultRowHeight="15" customHeight="1" x14ac:dyDescent="0.35"/>
  <cols>
    <col min="1" max="1" width="52" customWidth="1"/>
    <col min="2" max="2" width="62" customWidth="1"/>
    <col min="3" max="8" width="15" customWidth="1"/>
    <col min="9" max="26" width="8.7265625" customWidth="1"/>
  </cols>
  <sheetData>
    <row r="1" spans="1:8" ht="24" customHeight="1" x14ac:dyDescent="0.4">
      <c r="A1" s="1" t="s">
        <v>0</v>
      </c>
      <c r="B1" s="2"/>
      <c r="C1" s="2"/>
      <c r="D1" s="2"/>
      <c r="E1" s="2"/>
      <c r="F1" s="2"/>
      <c r="G1" s="2"/>
      <c r="H1" s="2"/>
    </row>
    <row r="2" spans="1:8" ht="14.5" x14ac:dyDescent="0.35">
      <c r="A2" s="3" t="s">
        <v>1</v>
      </c>
    </row>
    <row r="4" spans="1:8" ht="14.5" x14ac:dyDescent="0.35">
      <c r="A4" s="4" t="s">
        <v>2</v>
      </c>
    </row>
    <row r="5" spans="1:8" ht="14.5" x14ac:dyDescent="0.35">
      <c r="A5" s="5" t="s">
        <v>3</v>
      </c>
      <c r="B5" s="6" t="s">
        <v>4</v>
      </c>
    </row>
    <row r="6" spans="1:8" ht="14.5" x14ac:dyDescent="0.35">
      <c r="A6" s="8" t="s">
        <v>5</v>
      </c>
      <c r="B6" s="6" t="s">
        <v>6</v>
      </c>
    </row>
    <row r="7" spans="1:8" ht="14.5" x14ac:dyDescent="0.35">
      <c r="A7" s="9" t="s">
        <v>7</v>
      </c>
      <c r="B7" s="6" t="s">
        <v>8</v>
      </c>
    </row>
    <row r="8" spans="1:8" ht="14.5" x14ac:dyDescent="0.35">
      <c r="A8" s="11" t="s">
        <v>9</v>
      </c>
      <c r="B8" s="6" t="s">
        <v>10</v>
      </c>
    </row>
    <row r="10" spans="1:8" ht="14.5" x14ac:dyDescent="0.35">
      <c r="A10" s="4" t="s">
        <v>11</v>
      </c>
    </row>
    <row r="11" spans="1:8" ht="14.5" x14ac:dyDescent="0.35">
      <c r="A11" s="12" t="s">
        <v>12</v>
      </c>
      <c r="B11" s="6" t="s">
        <v>13</v>
      </c>
    </row>
    <row r="12" spans="1:8" ht="14.5" x14ac:dyDescent="0.35">
      <c r="A12" s="12" t="s">
        <v>14</v>
      </c>
      <c r="B12" s="6" t="s">
        <v>15</v>
      </c>
    </row>
    <row r="13" spans="1:8" ht="14.5" x14ac:dyDescent="0.35">
      <c r="A13" s="12" t="s">
        <v>16</v>
      </c>
      <c r="B13" s="6" t="s">
        <v>17</v>
      </c>
    </row>
    <row r="14" spans="1:8" ht="14.5" x14ac:dyDescent="0.35">
      <c r="A14" s="12" t="s">
        <v>18</v>
      </c>
      <c r="B14" s="6" t="s">
        <v>19</v>
      </c>
    </row>
    <row r="15" spans="1:8" ht="14.5" x14ac:dyDescent="0.35">
      <c r="A15" s="12" t="s">
        <v>20</v>
      </c>
      <c r="B15" s="6" t="s">
        <v>21</v>
      </c>
    </row>
    <row r="16" spans="1:8" ht="14.5" x14ac:dyDescent="0.35">
      <c r="A16" s="12" t="s">
        <v>22</v>
      </c>
      <c r="B16" s="6" t="s">
        <v>23</v>
      </c>
    </row>
    <row r="18" spans="1:1" ht="14.5" x14ac:dyDescent="0.35">
      <c r="A18" s="4" t="s">
        <v>24</v>
      </c>
    </row>
    <row r="19" spans="1:1" ht="14.5" x14ac:dyDescent="0.35">
      <c r="A19" s="6" t="s">
        <v>25</v>
      </c>
    </row>
    <row r="20" spans="1:1" ht="14.5" x14ac:dyDescent="0.35">
      <c r="A20" s="6" t="s">
        <v>26</v>
      </c>
    </row>
    <row r="21" spans="1:1" ht="15.75" customHeight="1" x14ac:dyDescent="0.35">
      <c r="A21" s="6" t="s">
        <v>27</v>
      </c>
    </row>
    <row r="22" spans="1:1" ht="15.75" customHeight="1" x14ac:dyDescent="0.35"/>
    <row r="23" spans="1:1" ht="15.75" customHeight="1" x14ac:dyDescent="0.35">
      <c r="A23" s="3" t="s">
        <v>28</v>
      </c>
    </row>
    <row r="24" spans="1:1" ht="15.75" customHeight="1" x14ac:dyDescent="0.35">
      <c r="A24" s="3" t="s">
        <v>29</v>
      </c>
    </row>
    <row r="25" spans="1:1" ht="15.75" customHeight="1" x14ac:dyDescent="0.35"/>
    <row r="26" spans="1:1" ht="15.75" customHeight="1" x14ac:dyDescent="0.35"/>
    <row r="27" spans="1:1" ht="15.75" customHeight="1" x14ac:dyDescent="0.35"/>
    <row r="28" spans="1:1" ht="15.75" customHeight="1" x14ac:dyDescent="0.35"/>
    <row r="29" spans="1:1" ht="15.75" customHeight="1" x14ac:dyDescent="0.35"/>
    <row r="30" spans="1:1" ht="15.75" customHeight="1" x14ac:dyDescent="0.35"/>
    <row r="31" spans="1:1" ht="15.75" customHeight="1" x14ac:dyDescent="0.35"/>
    <row r="32" spans="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opLeftCell="A62" workbookViewId="0">
      <selection activeCell="B6" sqref="B6"/>
    </sheetView>
  </sheetViews>
  <sheetFormatPr defaultColWidth="14.453125" defaultRowHeight="15" customHeight="1" x14ac:dyDescent="0.35"/>
  <cols>
    <col min="1" max="1" width="46" customWidth="1"/>
    <col min="2" max="3" width="16" customWidth="1"/>
    <col min="4" max="4" width="52" customWidth="1"/>
    <col min="5" max="5" width="60" customWidth="1"/>
    <col min="6" max="6" width="44" customWidth="1"/>
    <col min="7" max="7" width="14" customWidth="1"/>
    <col min="8" max="8" width="16" customWidth="1"/>
    <col min="9" max="26" width="18" customWidth="1"/>
  </cols>
  <sheetData>
    <row r="1" spans="1:9" ht="24" customHeight="1" x14ac:dyDescent="0.4">
      <c r="A1" s="1" t="s">
        <v>30</v>
      </c>
      <c r="B1" s="2"/>
      <c r="C1" s="2"/>
      <c r="D1" s="2"/>
      <c r="E1" s="2"/>
      <c r="F1" s="2"/>
      <c r="G1" s="2"/>
      <c r="H1" s="2"/>
    </row>
    <row r="2" spans="1:9" ht="14.5" x14ac:dyDescent="0.35">
      <c r="A2" s="3" t="s">
        <v>31</v>
      </c>
    </row>
    <row r="4" spans="1:9" ht="14.5" x14ac:dyDescent="0.35">
      <c r="A4" s="7" t="s">
        <v>32</v>
      </c>
      <c r="B4" s="10"/>
      <c r="C4" s="10"/>
      <c r="D4" s="10"/>
      <c r="E4" s="10"/>
      <c r="F4" s="10"/>
      <c r="G4" s="10"/>
      <c r="H4" s="10"/>
    </row>
    <row r="5" spans="1:9" ht="24" x14ac:dyDescent="0.35">
      <c r="A5" s="6" t="s">
        <v>33</v>
      </c>
      <c r="B5" s="35" t="s">
        <v>34</v>
      </c>
      <c r="D5" s="3" t="s">
        <v>35</v>
      </c>
      <c r="E5" s="36" t="s">
        <v>36</v>
      </c>
    </row>
    <row r="6" spans="1:9" ht="24" x14ac:dyDescent="0.35">
      <c r="A6" s="6" t="s">
        <v>37</v>
      </c>
      <c r="B6" s="37" t="s">
        <v>38</v>
      </c>
      <c r="D6" s="3" t="s">
        <v>39</v>
      </c>
      <c r="E6" s="36" t="s">
        <v>40</v>
      </c>
    </row>
    <row r="8" spans="1:9" ht="14.5" x14ac:dyDescent="0.35">
      <c r="A8" s="7" t="s">
        <v>41</v>
      </c>
      <c r="B8" s="10"/>
      <c r="C8" s="10"/>
      <c r="D8" s="10"/>
      <c r="E8" s="10"/>
      <c r="F8" s="10"/>
      <c r="G8" s="10"/>
      <c r="H8" s="10"/>
    </row>
    <row r="9" spans="1:9" ht="24" x14ac:dyDescent="0.35">
      <c r="A9" s="6" t="s">
        <v>42</v>
      </c>
      <c r="B9" s="38">
        <v>3000</v>
      </c>
      <c r="C9" s="3" t="s">
        <v>43</v>
      </c>
      <c r="E9" s="36" t="s">
        <v>44</v>
      </c>
    </row>
    <row r="10" spans="1:9" ht="36" x14ac:dyDescent="0.35">
      <c r="A10" s="6" t="s">
        <v>45</v>
      </c>
      <c r="B10" s="39">
        <v>0.85699999999999998</v>
      </c>
      <c r="D10" s="3" t="s">
        <v>46</v>
      </c>
      <c r="E10" s="36" t="s">
        <v>47</v>
      </c>
    </row>
    <row r="11" spans="1:9" ht="14.5" x14ac:dyDescent="0.35">
      <c r="A11" s="6" t="s">
        <v>48</v>
      </c>
      <c r="B11" s="14">
        <f>B9*B10</f>
        <v>2571</v>
      </c>
      <c r="C11" s="3" t="s">
        <v>43</v>
      </c>
      <c r="D11" s="3" t="s">
        <v>49</v>
      </c>
    </row>
    <row r="12" spans="1:9" ht="14.5" x14ac:dyDescent="0.35">
      <c r="A12" s="6" t="s">
        <v>50</v>
      </c>
      <c r="B12" s="14">
        <f>B9-B11</f>
        <v>429</v>
      </c>
      <c r="C12" s="3" t="s">
        <v>43</v>
      </c>
      <c r="D12" s="3" t="s">
        <v>51</v>
      </c>
    </row>
    <row r="14" spans="1:9" ht="14.5" x14ac:dyDescent="0.35">
      <c r="A14" s="7" t="s">
        <v>52</v>
      </c>
      <c r="B14" s="10"/>
      <c r="C14" s="10"/>
      <c r="D14" s="10"/>
      <c r="E14" s="10"/>
      <c r="F14" s="40" t="s">
        <v>53</v>
      </c>
      <c r="G14" s="10"/>
      <c r="H14" s="10"/>
    </row>
    <row r="15" spans="1:9" ht="24" x14ac:dyDescent="0.35">
      <c r="A15" s="6" t="s">
        <v>54</v>
      </c>
      <c r="B15" s="41">
        <v>0.15</v>
      </c>
      <c r="D15" s="3" t="s">
        <v>55</v>
      </c>
      <c r="E15" s="36" t="s">
        <v>56</v>
      </c>
      <c r="F15" s="42" t="s">
        <v>57</v>
      </c>
      <c r="G15" s="42" t="s">
        <v>58</v>
      </c>
      <c r="H15" s="42" t="s">
        <v>59</v>
      </c>
      <c r="I15" s="42" t="s">
        <v>60</v>
      </c>
    </row>
    <row r="16" spans="1:9" ht="14.5" x14ac:dyDescent="0.35">
      <c r="A16" s="6" t="s">
        <v>61</v>
      </c>
      <c r="B16" s="41">
        <v>0.6</v>
      </c>
      <c r="F16" s="43" t="s">
        <v>62</v>
      </c>
      <c r="G16" s="44">
        <v>1</v>
      </c>
      <c r="H16" s="44">
        <v>315</v>
      </c>
      <c r="I16" s="45">
        <f>150*$G$27</f>
        <v>228</v>
      </c>
    </row>
    <row r="17" spans="1:9" ht="14.5" x14ac:dyDescent="0.35">
      <c r="A17" s="6" t="s">
        <v>63</v>
      </c>
      <c r="B17" s="41">
        <v>0.15</v>
      </c>
      <c r="D17" s="3" t="s">
        <v>64</v>
      </c>
      <c r="E17" s="36" t="s">
        <v>65</v>
      </c>
      <c r="F17" s="43" t="s">
        <v>66</v>
      </c>
      <c r="G17" s="45">
        <f>$G$25</f>
        <v>2</v>
      </c>
      <c r="H17" s="44">
        <v>243</v>
      </c>
      <c r="I17" s="45">
        <f>80*$G$27</f>
        <v>121.6</v>
      </c>
    </row>
    <row r="18" spans="1:9" ht="14.5" x14ac:dyDescent="0.35">
      <c r="A18" s="6" t="s">
        <v>67</v>
      </c>
      <c r="B18" s="41">
        <v>7.4999999999999997E-2</v>
      </c>
      <c r="D18" s="3" t="s">
        <v>68</v>
      </c>
      <c r="E18" s="36" t="s">
        <v>69</v>
      </c>
      <c r="F18" s="43" t="s">
        <v>70</v>
      </c>
      <c r="G18" s="45">
        <f>$G$25</f>
        <v>2</v>
      </c>
      <c r="H18" s="44">
        <v>241</v>
      </c>
      <c r="I18" s="45">
        <f>80*$G$27</f>
        <v>121.6</v>
      </c>
    </row>
    <row r="19" spans="1:9" ht="14.5" x14ac:dyDescent="0.35">
      <c r="A19" s="6" t="s">
        <v>71</v>
      </c>
      <c r="B19" s="38">
        <f>G23</f>
        <v>13</v>
      </c>
      <c r="C19" s="3" t="s">
        <v>72</v>
      </c>
      <c r="E19" s="36" t="s">
        <v>73</v>
      </c>
      <c r="F19" s="43" t="s">
        <v>74</v>
      </c>
      <c r="G19" s="45">
        <f>$G$25</f>
        <v>2</v>
      </c>
      <c r="H19" s="44">
        <v>421</v>
      </c>
      <c r="I19" s="45">
        <f>120*$G$27</f>
        <v>182.4</v>
      </c>
    </row>
    <row r="20" spans="1:9" ht="24" x14ac:dyDescent="0.35">
      <c r="A20" s="6" t="s">
        <v>75</v>
      </c>
      <c r="B20" s="38">
        <v>0</v>
      </c>
      <c r="C20" s="3" t="s">
        <v>76</v>
      </c>
      <c r="D20" s="3" t="s">
        <v>77</v>
      </c>
      <c r="E20" s="36" t="s">
        <v>78</v>
      </c>
      <c r="F20" s="43" t="s">
        <v>79</v>
      </c>
      <c r="G20" s="45">
        <f>$G$25</f>
        <v>2</v>
      </c>
      <c r="H20" s="44">
        <v>494</v>
      </c>
      <c r="I20" s="45">
        <f>120*$G$27</f>
        <v>182.4</v>
      </c>
    </row>
    <row r="21" spans="1:9" ht="15.75" customHeight="1" x14ac:dyDescent="0.35">
      <c r="A21" s="6" t="s">
        <v>80</v>
      </c>
      <c r="B21" s="38">
        <f>H23/G23</f>
        <v>2239.3846153846152</v>
      </c>
      <c r="C21" s="3" t="s">
        <v>76</v>
      </c>
      <c r="D21" s="3" t="s">
        <v>81</v>
      </c>
      <c r="E21" s="36" t="s">
        <v>82</v>
      </c>
      <c r="F21" s="43" t="s">
        <v>83</v>
      </c>
      <c r="G21" s="44">
        <v>1</v>
      </c>
      <c r="H21" s="44">
        <v>445</v>
      </c>
      <c r="I21" s="45">
        <f>120*$G$27</f>
        <v>182.4</v>
      </c>
    </row>
    <row r="22" spans="1:9" ht="15.75" customHeight="1" x14ac:dyDescent="0.35">
      <c r="A22" s="6" t="s">
        <v>84</v>
      </c>
      <c r="B22" s="38">
        <f>I23/G23</f>
        <v>153.16923076923078</v>
      </c>
      <c r="C22" s="3" t="s">
        <v>76</v>
      </c>
      <c r="F22" s="43" t="s">
        <v>85</v>
      </c>
      <c r="G22" s="45">
        <f>$G$26</f>
        <v>3</v>
      </c>
      <c r="H22" s="44">
        <v>8518</v>
      </c>
      <c r="I22" s="45">
        <f>80*$G$27</f>
        <v>121.6</v>
      </c>
    </row>
    <row r="23" spans="1:9" ht="15.75" customHeight="1" x14ac:dyDescent="0.35">
      <c r="A23" s="6" t="s">
        <v>86</v>
      </c>
      <c r="B23" s="17">
        <f>B20*B17/1000000</f>
        <v>0</v>
      </c>
      <c r="F23" s="43" t="s">
        <v>87</v>
      </c>
      <c r="G23" s="45">
        <f>SUM(G16:G22)</f>
        <v>13</v>
      </c>
      <c r="H23" s="45">
        <f>SUMPRODUCT(G16:G22,H16:H22)</f>
        <v>29112</v>
      </c>
      <c r="I23" s="45">
        <f>SUMPRODUCT(G16:G22,I16:I22)</f>
        <v>1991.2</v>
      </c>
    </row>
    <row r="24" spans="1:9" ht="15.75" customHeight="1" x14ac:dyDescent="0.35">
      <c r="A24" s="6" t="s">
        <v>88</v>
      </c>
      <c r="B24" s="17">
        <f>(B19-1)*B20*B18/1000000</f>
        <v>0</v>
      </c>
    </row>
    <row r="25" spans="1:9" ht="15.75" customHeight="1" x14ac:dyDescent="0.35">
      <c r="A25" s="6" t="s">
        <v>89</v>
      </c>
      <c r="B25" s="17">
        <f>B19*B21*B15/1000000</f>
        <v>4.3668000000000005E-3</v>
      </c>
      <c r="F25" s="43" t="s">
        <v>90</v>
      </c>
      <c r="G25" s="44">
        <v>2</v>
      </c>
    </row>
    <row r="26" spans="1:9" ht="15.75" customHeight="1" x14ac:dyDescent="0.35">
      <c r="A26" s="6" t="s">
        <v>91</v>
      </c>
      <c r="B26" s="17">
        <f>B19*B22*B16/1000000</f>
        <v>1.19472E-3</v>
      </c>
      <c r="F26" s="43" t="s">
        <v>92</v>
      </c>
      <c r="G26" s="44">
        <v>3</v>
      </c>
    </row>
    <row r="27" spans="1:9" ht="15.75" customHeight="1" x14ac:dyDescent="0.35">
      <c r="A27" s="12" t="s">
        <v>93</v>
      </c>
      <c r="B27" s="16">
        <f>SUM(B23:B26)</f>
        <v>5.5615200000000004E-3</v>
      </c>
      <c r="F27" s="43" t="s">
        <v>94</v>
      </c>
      <c r="G27" s="44">
        <v>1.52</v>
      </c>
    </row>
    <row r="28" spans="1:9" ht="15.75" customHeight="1" x14ac:dyDescent="0.35">
      <c r="A28" s="6" t="s">
        <v>95</v>
      </c>
      <c r="B28" s="17">
        <f>B19*(B20+B21)*B15/1000000+B26</f>
        <v>5.5615200000000004E-3</v>
      </c>
      <c r="F28" s="57" t="s">
        <v>96</v>
      </c>
      <c r="G28" s="58"/>
      <c r="H28" s="58"/>
      <c r="I28" s="58"/>
    </row>
    <row r="29" spans="1:9" ht="15.75" customHeight="1" x14ac:dyDescent="0.35">
      <c r="A29" s="6" t="s">
        <v>97</v>
      </c>
      <c r="B29" s="20">
        <f>IF(B28=0,0,1-B27/B28)</f>
        <v>0</v>
      </c>
      <c r="D29" s="3" t="s">
        <v>98</v>
      </c>
      <c r="F29" s="58"/>
      <c r="G29" s="58"/>
      <c r="H29" s="58"/>
      <c r="I29" s="58"/>
    </row>
    <row r="30" spans="1:9" ht="15.75" customHeight="1" x14ac:dyDescent="0.35">
      <c r="A30" s="6" t="s">
        <v>99</v>
      </c>
      <c r="B30" s="38">
        <v>0</v>
      </c>
      <c r="D30" s="3" t="s">
        <v>100</v>
      </c>
      <c r="E30" s="36" t="s">
        <v>101</v>
      </c>
      <c r="F30" s="58"/>
      <c r="G30" s="58"/>
      <c r="H30" s="58"/>
      <c r="I30" s="58"/>
    </row>
    <row r="31" spans="1:9" ht="15.75" customHeight="1" x14ac:dyDescent="0.35">
      <c r="A31" s="12" t="s">
        <v>102</v>
      </c>
      <c r="B31" s="16">
        <f>B27*(1-B30*0.5)</f>
        <v>5.5615200000000004E-3</v>
      </c>
      <c r="F31" s="42" t="s">
        <v>103</v>
      </c>
    </row>
    <row r="32" spans="1:9" ht="15.75" customHeight="1" x14ac:dyDescent="0.35">
      <c r="F32" s="43" t="s">
        <v>104</v>
      </c>
      <c r="G32" s="45">
        <f>B27-(G26-1)*8201*(B15-B18)/1000000</f>
        <v>4.3313700000000002E-3</v>
      </c>
    </row>
    <row r="33" spans="1:9" ht="15.75" customHeight="1" x14ac:dyDescent="0.35">
      <c r="A33" s="7" t="s">
        <v>105</v>
      </c>
      <c r="B33" s="10"/>
      <c r="C33" s="10"/>
      <c r="D33" s="10"/>
      <c r="E33" s="10"/>
      <c r="F33" s="46" t="s">
        <v>106</v>
      </c>
      <c r="G33" s="47">
        <f>IF(B27=0,0,1-G32/B27)</f>
        <v>0.22118953091960469</v>
      </c>
      <c r="H33" s="10"/>
    </row>
    <row r="34" spans="1:9" ht="15.75" customHeight="1" x14ac:dyDescent="0.35">
      <c r="A34" s="6" t="s">
        <v>107</v>
      </c>
      <c r="B34" s="48">
        <v>0</v>
      </c>
      <c r="D34" s="3" t="s">
        <v>108</v>
      </c>
      <c r="E34" s="36" t="s">
        <v>109</v>
      </c>
    </row>
    <row r="35" spans="1:9" ht="15.75" customHeight="1" x14ac:dyDescent="0.35">
      <c r="A35" s="6" t="s">
        <v>110</v>
      </c>
      <c r="B35" s="49">
        <v>0</v>
      </c>
      <c r="C35" s="3" t="s">
        <v>111</v>
      </c>
      <c r="F35" s="42" t="s">
        <v>112</v>
      </c>
    </row>
    <row r="36" spans="1:9" ht="15.75" customHeight="1" x14ac:dyDescent="0.35">
      <c r="A36" s="6" t="s">
        <v>113</v>
      </c>
      <c r="B36" s="41">
        <v>0</v>
      </c>
      <c r="D36" s="3" t="s">
        <v>114</v>
      </c>
      <c r="F36" s="43" t="s">
        <v>115</v>
      </c>
      <c r="G36" s="44">
        <v>20</v>
      </c>
    </row>
    <row r="37" spans="1:9" ht="15.75" customHeight="1" x14ac:dyDescent="0.35">
      <c r="A37" s="6" t="s">
        <v>116</v>
      </c>
      <c r="B37" s="38">
        <v>0</v>
      </c>
      <c r="C37" s="3" t="s">
        <v>117</v>
      </c>
      <c r="D37" s="3" t="s">
        <v>118</v>
      </c>
      <c r="F37" s="43" t="s">
        <v>119</v>
      </c>
      <c r="G37" s="50">
        <v>0.15</v>
      </c>
    </row>
    <row r="38" spans="1:9" ht="15.75" customHeight="1" x14ac:dyDescent="0.35">
      <c r="A38" s="6" t="s">
        <v>120</v>
      </c>
      <c r="B38" s="17">
        <f>B34*B35+B36*B37/1000000</f>
        <v>0</v>
      </c>
      <c r="F38" s="43" t="s">
        <v>121</v>
      </c>
      <c r="G38" s="45">
        <f>IF(B9=0,0,G36/B9)</f>
        <v>6.6666666666666671E-3</v>
      </c>
    </row>
    <row r="39" spans="1:9" ht="15.75" customHeight="1" x14ac:dyDescent="0.35">
      <c r="F39" s="43" t="s">
        <v>122</v>
      </c>
      <c r="G39" s="45">
        <f>'2_Pricing'!B19*G37</f>
        <v>1.9949999999999999E-2</v>
      </c>
    </row>
    <row r="40" spans="1:9" ht="15.75" customHeight="1" x14ac:dyDescent="0.35">
      <c r="A40" s="7" t="s">
        <v>123</v>
      </c>
      <c r="B40" s="10"/>
      <c r="C40" s="10"/>
      <c r="D40" s="10"/>
      <c r="E40" s="10"/>
      <c r="F40" s="46" t="s">
        <v>124</v>
      </c>
      <c r="G40" s="51">
        <f>G38+G39</f>
        <v>2.6616666666666667E-2</v>
      </c>
      <c r="H40" s="10"/>
    </row>
    <row r="41" spans="1:9" ht="15.75" customHeight="1" x14ac:dyDescent="0.35">
      <c r="A41" s="6" t="s">
        <v>125</v>
      </c>
      <c r="B41" s="48">
        <f>G40</f>
        <v>2.6616666666666667E-2</v>
      </c>
      <c r="D41" s="3" t="s">
        <v>126</v>
      </c>
      <c r="E41" s="36" t="s">
        <v>127</v>
      </c>
      <c r="F41" s="57" t="s">
        <v>128</v>
      </c>
      <c r="G41" s="58"/>
      <c r="H41" s="58"/>
      <c r="I41" s="58"/>
    </row>
    <row r="42" spans="1:9" ht="15.75" customHeight="1" x14ac:dyDescent="0.35">
      <c r="A42" s="6" t="s">
        <v>129</v>
      </c>
      <c r="B42" s="48">
        <v>0</v>
      </c>
      <c r="E42" s="36" t="s">
        <v>130</v>
      </c>
      <c r="F42" s="58"/>
      <c r="G42" s="58"/>
      <c r="H42" s="58"/>
      <c r="I42" s="58"/>
    </row>
    <row r="43" spans="1:9" ht="15.75" customHeight="1" x14ac:dyDescent="0.35">
      <c r="A43" s="6" t="s">
        <v>131</v>
      </c>
      <c r="B43" s="17">
        <f>B41+B42*B35</f>
        <v>2.6616666666666667E-2</v>
      </c>
      <c r="F43" s="58"/>
      <c r="G43" s="58"/>
      <c r="H43" s="58"/>
      <c r="I43" s="58"/>
    </row>
    <row r="44" spans="1:9" ht="15.75" customHeight="1" x14ac:dyDescent="0.35">
      <c r="F44" s="58"/>
      <c r="G44" s="58"/>
      <c r="H44" s="58"/>
      <c r="I44" s="58"/>
    </row>
    <row r="45" spans="1:9" ht="15.75" customHeight="1" x14ac:dyDescent="0.35">
      <c r="A45" s="7" t="s">
        <v>132</v>
      </c>
      <c r="B45" s="10"/>
      <c r="C45" s="10"/>
      <c r="D45" s="10"/>
      <c r="E45" s="10"/>
      <c r="F45" s="10"/>
      <c r="G45" s="10"/>
      <c r="H45" s="10"/>
    </row>
    <row r="46" spans="1:9" ht="15.75" customHeight="1" x14ac:dyDescent="0.35">
      <c r="A46" s="6" t="s">
        <v>133</v>
      </c>
      <c r="B46" s="39">
        <v>0.05</v>
      </c>
      <c r="D46" s="3" t="s">
        <v>134</v>
      </c>
      <c r="E46" s="36" t="s">
        <v>135</v>
      </c>
    </row>
    <row r="47" spans="1:9" ht="15.75" customHeight="1" x14ac:dyDescent="0.35">
      <c r="A47" s="6" t="s">
        <v>136</v>
      </c>
      <c r="B47" s="17">
        <f>(B31+B38)*B46</f>
        <v>2.7807600000000004E-4</v>
      </c>
    </row>
    <row r="48" spans="1:9" ht="15.75" customHeight="1" x14ac:dyDescent="0.35"/>
    <row r="49" spans="1:8" ht="15.75" customHeight="1" x14ac:dyDescent="0.35">
      <c r="A49" s="7" t="s">
        <v>137</v>
      </c>
      <c r="B49" s="10"/>
      <c r="C49" s="10"/>
      <c r="D49" s="10"/>
      <c r="E49" s="10"/>
      <c r="F49" s="10"/>
      <c r="G49" s="10"/>
      <c r="H49" s="10"/>
    </row>
    <row r="50" spans="1:8" ht="15.75" customHeight="1" x14ac:dyDescent="0.35">
      <c r="A50" s="6" t="s">
        <v>138</v>
      </c>
      <c r="B50" s="41">
        <f>50000/B68</f>
        <v>1.9105846388995031</v>
      </c>
      <c r="D50" s="3" t="s">
        <v>139</v>
      </c>
      <c r="E50" s="36" t="s">
        <v>140</v>
      </c>
    </row>
    <row r="51" spans="1:8" ht="15.75" customHeight="1" x14ac:dyDescent="0.35">
      <c r="A51" s="6" t="s">
        <v>141</v>
      </c>
      <c r="B51" s="39">
        <v>0.05</v>
      </c>
      <c r="D51" s="3" t="s">
        <v>142</v>
      </c>
      <c r="E51" s="36" t="s">
        <v>143</v>
      </c>
    </row>
    <row r="52" spans="1:8" ht="15.75" customHeight="1" x14ac:dyDescent="0.35">
      <c r="A52" s="6" t="s">
        <v>144</v>
      </c>
      <c r="B52" s="49">
        <v>3</v>
      </c>
      <c r="C52" s="3" t="s">
        <v>111</v>
      </c>
      <c r="E52" s="36" t="s">
        <v>145</v>
      </c>
    </row>
    <row r="53" spans="1:8" ht="15.75" customHeight="1" x14ac:dyDescent="0.35">
      <c r="A53" s="6" t="s">
        <v>146</v>
      </c>
      <c r="B53" s="49">
        <v>0</v>
      </c>
      <c r="C53" s="3" t="s">
        <v>111</v>
      </c>
      <c r="E53" s="36" t="s">
        <v>147</v>
      </c>
    </row>
    <row r="54" spans="1:8" ht="15.75" customHeight="1" x14ac:dyDescent="0.35">
      <c r="A54" s="6" t="s">
        <v>148</v>
      </c>
      <c r="B54" s="23">
        <f>B9*B51*(B52/60)*B50</f>
        <v>14.329384791746273</v>
      </c>
    </row>
    <row r="55" spans="1:8" ht="15.75" customHeight="1" x14ac:dyDescent="0.35">
      <c r="A55" s="6" t="s">
        <v>149</v>
      </c>
      <c r="B55" s="23">
        <f>IF(B6="B",B12*(B53/60)*B50,0)</f>
        <v>0</v>
      </c>
      <c r="D55" s="3" t="s">
        <v>150</v>
      </c>
    </row>
    <row r="56" spans="1:8" ht="15.75" customHeight="1" x14ac:dyDescent="0.35">
      <c r="A56" s="12" t="s">
        <v>151</v>
      </c>
      <c r="B56" s="24">
        <f>B54+B55</f>
        <v>14.329384791746273</v>
      </c>
    </row>
    <row r="57" spans="1:8" ht="15.75" customHeight="1" x14ac:dyDescent="0.35"/>
    <row r="58" spans="1:8" ht="15.75" customHeight="1" x14ac:dyDescent="0.35">
      <c r="A58" s="7" t="s">
        <v>152</v>
      </c>
      <c r="B58" s="10"/>
      <c r="C58" s="10"/>
      <c r="D58" s="10"/>
      <c r="E58" s="10"/>
      <c r="F58" s="10"/>
      <c r="G58" s="10"/>
      <c r="H58" s="10"/>
    </row>
    <row r="59" spans="1:8" ht="15.75" customHeight="1" x14ac:dyDescent="0.35">
      <c r="A59" s="6" t="s">
        <v>153</v>
      </c>
      <c r="B59" s="41">
        <v>0</v>
      </c>
      <c r="D59" s="3" t="s">
        <v>154</v>
      </c>
      <c r="E59" s="36" t="s">
        <v>155</v>
      </c>
    </row>
    <row r="60" spans="1:8" ht="15.75" customHeight="1" x14ac:dyDescent="0.35"/>
    <row r="61" spans="1:8" ht="15.75" customHeight="1" x14ac:dyDescent="0.35">
      <c r="A61" s="7" t="s">
        <v>156</v>
      </c>
      <c r="B61" s="10"/>
      <c r="C61" s="10"/>
      <c r="D61" s="10"/>
      <c r="E61" s="10"/>
      <c r="F61" s="10"/>
      <c r="G61" s="10"/>
      <c r="H61" s="10"/>
    </row>
    <row r="62" spans="1:8" ht="15.75" customHeight="1" x14ac:dyDescent="0.35">
      <c r="A62" s="6" t="s">
        <v>157</v>
      </c>
      <c r="B62" s="23">
        <f>B9*(B31+B38+B43+B47)</f>
        <v>97.368787999999995</v>
      </c>
    </row>
    <row r="63" spans="1:8" ht="15.75" customHeight="1" x14ac:dyDescent="0.35">
      <c r="A63" s="6" t="s">
        <v>158</v>
      </c>
      <c r="B63" s="23">
        <f>B56</f>
        <v>14.329384791746273</v>
      </c>
    </row>
    <row r="64" spans="1:8" ht="15.75" customHeight="1" x14ac:dyDescent="0.35">
      <c r="A64" s="6" t="s">
        <v>159</v>
      </c>
      <c r="B64" s="23">
        <f>B59</f>
        <v>0</v>
      </c>
    </row>
    <row r="65" spans="1:8" ht="15.75" customHeight="1" x14ac:dyDescent="0.35">
      <c r="A65" s="6" t="s">
        <v>160</v>
      </c>
      <c r="B65" s="23">
        <f>B62+B63+B64</f>
        <v>111.69817279174627</v>
      </c>
    </row>
    <row r="66" spans="1:8" ht="15.75" customHeight="1" x14ac:dyDescent="0.35">
      <c r="A66" s="12" t="s">
        <v>161</v>
      </c>
      <c r="B66" s="16">
        <f>IF(B11=0,0,(B62+B63)/B11)</f>
        <v>4.3445419211103183E-2</v>
      </c>
      <c r="C66" s="3" t="s">
        <v>162</v>
      </c>
      <c r="D66" s="3" t="s">
        <v>163</v>
      </c>
    </row>
    <row r="67" spans="1:8" ht="15.75" customHeight="1" x14ac:dyDescent="0.35">
      <c r="A67" s="12" t="s">
        <v>164</v>
      </c>
      <c r="B67" s="16">
        <f>IF(B11=0,0,B65/B11)</f>
        <v>4.3445419211103183E-2</v>
      </c>
      <c r="C67" s="3" t="s">
        <v>162</v>
      </c>
    </row>
    <row r="68" spans="1:8" ht="15.75" customHeight="1" x14ac:dyDescent="0.35">
      <c r="A68" s="6" t="s">
        <v>165</v>
      </c>
      <c r="B68" s="38">
        <v>26170</v>
      </c>
      <c r="C68" s="3" t="s">
        <v>166</v>
      </c>
      <c r="D68" s="3" t="s">
        <v>167</v>
      </c>
      <c r="E68" s="36" t="s">
        <v>168</v>
      </c>
    </row>
    <row r="69" spans="1:8" ht="15.75" customHeight="1" x14ac:dyDescent="0.35">
      <c r="A69" s="6" t="s">
        <v>169</v>
      </c>
      <c r="B69" s="27">
        <f>B66*B68</f>
        <v>1136.9666207545704</v>
      </c>
      <c r="C69" s="3" t="s">
        <v>170</v>
      </c>
    </row>
    <row r="70" spans="1:8" ht="15.75" customHeight="1" x14ac:dyDescent="0.35"/>
    <row r="71" spans="1:8" ht="15.75" customHeight="1" x14ac:dyDescent="0.35">
      <c r="A71" s="7" t="s">
        <v>171</v>
      </c>
      <c r="B71" s="10"/>
      <c r="C71" s="10"/>
      <c r="D71" s="10"/>
      <c r="E71" s="10"/>
      <c r="F71" s="10"/>
      <c r="G71" s="10"/>
      <c r="H71" s="10"/>
    </row>
    <row r="72" spans="1:8" ht="15.75" customHeight="1" x14ac:dyDescent="0.35">
      <c r="A72" s="6" t="s">
        <v>172</v>
      </c>
      <c r="B72" s="23">
        <f>B9*B31</f>
        <v>16.684560000000001</v>
      </c>
      <c r="C72" s="20">
        <f t="shared" ref="C72:C77" si="0">IF($B$65=0,0,B72/$B$65)</f>
        <v>0.1493718257245554</v>
      </c>
    </row>
    <row r="73" spans="1:8" ht="15.75" customHeight="1" x14ac:dyDescent="0.35">
      <c r="A73" s="6" t="s">
        <v>173</v>
      </c>
      <c r="B73" s="23">
        <f>B9*B38</f>
        <v>0</v>
      </c>
      <c r="C73" s="20">
        <f t="shared" si="0"/>
        <v>0</v>
      </c>
    </row>
    <row r="74" spans="1:8" ht="15.75" customHeight="1" x14ac:dyDescent="0.35">
      <c r="A74" s="6" t="s">
        <v>174</v>
      </c>
      <c r="B74" s="23">
        <f>B9*B43</f>
        <v>79.849999999999994</v>
      </c>
      <c r="C74" s="20">
        <f t="shared" si="0"/>
        <v>0.71487292946926662</v>
      </c>
    </row>
    <row r="75" spans="1:8" ht="15.75" customHeight="1" x14ac:dyDescent="0.35">
      <c r="A75" s="6" t="s">
        <v>175</v>
      </c>
      <c r="B75" s="23">
        <f>B9*B47</f>
        <v>0.83422800000000008</v>
      </c>
      <c r="C75" s="20">
        <f t="shared" si="0"/>
        <v>7.4685912862277708E-3</v>
      </c>
    </row>
    <row r="76" spans="1:8" ht="15.75" customHeight="1" x14ac:dyDescent="0.35">
      <c r="A76" s="6" t="s">
        <v>176</v>
      </c>
      <c r="B76" s="23">
        <f>B56</f>
        <v>14.329384791746273</v>
      </c>
      <c r="C76" s="20">
        <f t="shared" si="0"/>
        <v>0.12828665351995011</v>
      </c>
    </row>
    <row r="77" spans="1:8" ht="15.75" customHeight="1" x14ac:dyDescent="0.35">
      <c r="A77" s="6" t="s">
        <v>177</v>
      </c>
      <c r="B77" s="23">
        <f>B59</f>
        <v>0</v>
      </c>
      <c r="C77" s="20">
        <f t="shared" si="0"/>
        <v>0</v>
      </c>
    </row>
    <row r="78" spans="1:8" ht="15.75" customHeight="1" x14ac:dyDescent="0.35">
      <c r="A78" s="3" t="s">
        <v>178</v>
      </c>
    </row>
    <row r="79" spans="1:8" ht="15.75" customHeight="1" x14ac:dyDescent="0.35"/>
    <row r="80" spans="1:8"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F28:I30"/>
    <mergeCell ref="F41:I44"/>
  </mergeCells>
  <dataValidations count="1">
    <dataValidation type="list" allowBlank="1" sqref="B6" xr:uid="{00000000-0002-0000-0100-000000000000}">
      <formula1>"A,B"</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topLeftCell="A40" workbookViewId="0"/>
  </sheetViews>
  <sheetFormatPr defaultColWidth="14.453125" defaultRowHeight="15" customHeight="1" x14ac:dyDescent="0.35"/>
  <cols>
    <col min="1" max="1" width="46" customWidth="1"/>
    <col min="2" max="3" width="16" customWidth="1"/>
    <col min="4" max="4" width="54" customWidth="1"/>
    <col min="5" max="5" width="55" customWidth="1"/>
    <col min="6" max="6" width="46" customWidth="1"/>
    <col min="7" max="8" width="14" customWidth="1"/>
    <col min="9" max="26" width="8.7265625" customWidth="1"/>
  </cols>
  <sheetData>
    <row r="1" spans="1:8" ht="24" customHeight="1" x14ac:dyDescent="0.4">
      <c r="A1" s="1" t="s">
        <v>179</v>
      </c>
      <c r="B1" s="2"/>
      <c r="C1" s="2"/>
      <c r="D1" s="2"/>
      <c r="E1" s="2"/>
      <c r="F1" s="2"/>
      <c r="G1" s="2"/>
      <c r="H1" s="2"/>
    </row>
    <row r="2" spans="1:8" ht="14.5" x14ac:dyDescent="0.35">
      <c r="A2" s="3" t="s">
        <v>180</v>
      </c>
    </row>
    <row r="4" spans="1:8" ht="14.5" x14ac:dyDescent="0.35">
      <c r="A4" s="7" t="s">
        <v>181</v>
      </c>
      <c r="B4" s="10"/>
      <c r="C4" s="10"/>
      <c r="D4" s="10"/>
      <c r="E4" s="10"/>
      <c r="F4" s="10"/>
      <c r="G4" s="10"/>
      <c r="H4" s="10"/>
    </row>
    <row r="5" spans="1:8" ht="14.5" x14ac:dyDescent="0.35">
      <c r="A5" s="6" t="s">
        <v>182</v>
      </c>
      <c r="B5" s="15">
        <f>'1_Cost_Job'!B66</f>
        <v>4.3445419211103183E-2</v>
      </c>
      <c r="C5" s="3" t="s">
        <v>162</v>
      </c>
    </row>
    <row r="6" spans="1:8" ht="14.5" x14ac:dyDescent="0.35">
      <c r="A6" s="6" t="s">
        <v>183</v>
      </c>
      <c r="B6" s="49">
        <v>3</v>
      </c>
      <c r="C6" s="3" t="s">
        <v>184</v>
      </c>
      <c r="D6" s="3" t="s">
        <v>185</v>
      </c>
    </row>
    <row r="7" spans="1:8" ht="14.5" x14ac:dyDescent="0.35">
      <c r="A7" s="12" t="s">
        <v>186</v>
      </c>
      <c r="B7" s="16">
        <f>B5*B6</f>
        <v>0.13033625763330955</v>
      </c>
      <c r="C7" s="3" t="s">
        <v>162</v>
      </c>
    </row>
    <row r="9" spans="1:8" ht="14.5" x14ac:dyDescent="0.35">
      <c r="A9" s="7" t="s">
        <v>187</v>
      </c>
      <c r="B9" s="10"/>
      <c r="C9" s="10"/>
      <c r="D9" s="10"/>
      <c r="E9" s="10"/>
      <c r="F9" s="40" t="s">
        <v>188</v>
      </c>
      <c r="G9" s="10"/>
      <c r="H9" s="10"/>
    </row>
    <row r="10" spans="1:8" ht="36" x14ac:dyDescent="0.35">
      <c r="A10" s="6" t="s">
        <v>189</v>
      </c>
      <c r="B10" s="52">
        <f>G12*B11</f>
        <v>5.8463889950324806</v>
      </c>
      <c r="D10" s="3" t="s">
        <v>190</v>
      </c>
      <c r="E10" s="36" t="s">
        <v>191</v>
      </c>
      <c r="F10" s="43" t="s">
        <v>192</v>
      </c>
      <c r="G10" s="44">
        <v>0.2</v>
      </c>
    </row>
    <row r="11" spans="1:8" ht="24" x14ac:dyDescent="0.35">
      <c r="A11" s="6" t="s">
        <v>193</v>
      </c>
      <c r="B11" s="38">
        <v>30</v>
      </c>
      <c r="C11" s="3" t="s">
        <v>43</v>
      </c>
      <c r="E11" s="36" t="s">
        <v>194</v>
      </c>
      <c r="F11" s="43" t="s">
        <v>195</v>
      </c>
      <c r="G11" s="44">
        <v>25500</v>
      </c>
    </row>
    <row r="12" spans="1:8" ht="14.5" x14ac:dyDescent="0.35">
      <c r="A12" s="6" t="s">
        <v>196</v>
      </c>
      <c r="B12" s="17">
        <f>IF(B11=0,0,B10*0.1/B11)</f>
        <v>1.9487963316774937E-2</v>
      </c>
      <c r="C12" s="3" t="s">
        <v>162</v>
      </c>
      <c r="F12" s="43" t="s">
        <v>197</v>
      </c>
      <c r="G12" s="45">
        <f>G10*G11/'1_Cost_Job'!B68</f>
        <v>0.19487963316774934</v>
      </c>
    </row>
    <row r="13" spans="1:8" ht="14.5" x14ac:dyDescent="0.35">
      <c r="A13" s="6" t="s">
        <v>198</v>
      </c>
      <c r="B13" s="17">
        <f>IF(B11=0,0,B10*0.25/B11)</f>
        <v>4.8719908291937335E-2</v>
      </c>
      <c r="C13" s="3" t="s">
        <v>162</v>
      </c>
      <c r="F13" s="57" t="s">
        <v>199</v>
      </c>
      <c r="G13" s="58"/>
    </row>
    <row r="14" spans="1:8" ht="24" x14ac:dyDescent="0.35">
      <c r="A14" s="6" t="s">
        <v>200</v>
      </c>
      <c r="B14" s="52">
        <f>G12*B11</f>
        <v>5.8463889950324806</v>
      </c>
      <c r="D14" s="3" t="s">
        <v>201</v>
      </c>
      <c r="E14" s="36" t="s">
        <v>202</v>
      </c>
      <c r="F14" s="58"/>
      <c r="G14" s="58"/>
    </row>
    <row r="15" spans="1:8" ht="14.5" x14ac:dyDescent="0.35">
      <c r="A15" s="6" t="s">
        <v>203</v>
      </c>
      <c r="B15" s="17">
        <f>IF(B11=0,0,B14*0.5/B11)</f>
        <v>9.7439816583874669E-2</v>
      </c>
      <c r="C15" s="3" t="s">
        <v>162</v>
      </c>
      <c r="F15" s="58"/>
      <c r="G15" s="58"/>
    </row>
    <row r="16" spans="1:8" ht="14.5" x14ac:dyDescent="0.35">
      <c r="A16" s="6" t="s">
        <v>204</v>
      </c>
      <c r="B16" s="17">
        <f>IF(B11=0,0,B14*0.7/B11)</f>
        <v>0.13641574321742453</v>
      </c>
      <c r="C16" s="3" t="s">
        <v>162</v>
      </c>
      <c r="F16" s="58"/>
      <c r="G16" s="58"/>
    </row>
    <row r="18" spans="1:8" ht="14.5" x14ac:dyDescent="0.35">
      <c r="A18" s="7" t="s">
        <v>205</v>
      </c>
      <c r="B18" s="10"/>
      <c r="C18" s="10"/>
      <c r="D18" s="10"/>
      <c r="E18" s="10"/>
      <c r="F18" s="40" t="s">
        <v>206</v>
      </c>
      <c r="G18" s="10"/>
      <c r="H18" s="10"/>
    </row>
    <row r="19" spans="1:8" ht="36" x14ac:dyDescent="0.35">
      <c r="A19" s="6" t="s">
        <v>207</v>
      </c>
      <c r="B19" s="48">
        <f>G19/G20</f>
        <v>0.13300000000000001</v>
      </c>
      <c r="C19" s="3" t="s">
        <v>162</v>
      </c>
      <c r="D19" s="3" t="s">
        <v>208</v>
      </c>
      <c r="E19" s="36" t="s">
        <v>209</v>
      </c>
      <c r="F19" s="43" t="s">
        <v>210</v>
      </c>
      <c r="G19" s="44">
        <v>3.99</v>
      </c>
    </row>
    <row r="20" spans="1:8" ht="14.5" x14ac:dyDescent="0.35">
      <c r="A20" s="6" t="s">
        <v>211</v>
      </c>
      <c r="B20" s="21">
        <f>IF(B5=0,0,B19/B5)</f>
        <v>3.0613123872449526</v>
      </c>
      <c r="F20" s="43" t="s">
        <v>212</v>
      </c>
      <c r="G20" s="45">
        <f>B11</f>
        <v>30</v>
      </c>
    </row>
    <row r="21" spans="1:8" ht="15.75" customHeight="1" x14ac:dyDescent="0.35">
      <c r="A21" s="12" t="s">
        <v>213</v>
      </c>
      <c r="B21" s="22">
        <f>IF(B19=0,0,(B19-B5)/B19)</f>
        <v>0.67334271269847235</v>
      </c>
      <c r="F21" s="43" t="s">
        <v>214</v>
      </c>
      <c r="G21" s="45">
        <f>B19</f>
        <v>0.13300000000000001</v>
      </c>
    </row>
    <row r="22" spans="1:8" ht="15.75" customHeight="1" x14ac:dyDescent="0.35">
      <c r="A22" s="6" t="s">
        <v>215</v>
      </c>
      <c r="B22" s="8" t="str">
        <f>IF(B20&gt;=B6,"OK — ĐẠT","KHÔNG ĐẠT — quay lại tab 1")</f>
        <v>OK — ĐẠT</v>
      </c>
    </row>
    <row r="23" spans="1:8" ht="15.75" customHeight="1" x14ac:dyDescent="0.35">
      <c r="A23" s="6" t="s">
        <v>216</v>
      </c>
      <c r="B23" s="8" t="str">
        <f>IF(B21&gt;=0.6,"OK — AN TOÀN (≥60%)",IF(B21&gt;=0.5,"CẢNH BÁO (50–60%)","NGUY HIỂM (&lt;50%)"))</f>
        <v>OK — AN TOÀN (≥60%)</v>
      </c>
    </row>
    <row r="24" spans="1:8" ht="15.75" customHeight="1" x14ac:dyDescent="0.35">
      <c r="A24" s="6" t="s">
        <v>217</v>
      </c>
      <c r="B24" s="8" t="str">
        <f>IF(B21&gt;0.85,"NGHI NGỜ — nhiều khả năng bạn quên một khoản chi phí","OK")</f>
        <v>OK</v>
      </c>
    </row>
    <row r="25" spans="1:8" ht="15.75" customHeight="1" x14ac:dyDescent="0.35">
      <c r="A25" s="6" t="s">
        <v>218</v>
      </c>
      <c r="B25" s="8" t="str">
        <f>IF(AND(B19&gt;=B7,B19&lt;=MAX(B13,B16)),"OK — trong vùng giá bán","XEM LẠI — ngoài vùng giá sàn/trần")</f>
        <v>OK — trong vùng giá bán</v>
      </c>
    </row>
    <row r="26" spans="1:8" ht="15.75" customHeight="1" x14ac:dyDescent="0.35"/>
    <row r="27" spans="1:8" ht="15.75" customHeight="1" x14ac:dyDescent="0.35">
      <c r="A27" s="7" t="s">
        <v>219</v>
      </c>
      <c r="B27" s="10"/>
      <c r="C27" s="10"/>
      <c r="D27" s="10"/>
      <c r="E27" s="10"/>
      <c r="F27" s="10"/>
      <c r="G27" s="10"/>
      <c r="H27" s="10"/>
    </row>
    <row r="28" spans="1:8" ht="15.75" customHeight="1" x14ac:dyDescent="0.35">
      <c r="A28" s="3" t="s">
        <v>220</v>
      </c>
    </row>
    <row r="29" spans="1:8" ht="15.75" customHeight="1" x14ac:dyDescent="0.35">
      <c r="A29" s="6" t="s">
        <v>221</v>
      </c>
      <c r="B29" s="15">
        <f>'1_Cost_Job'!B31+'1_Cost_Job'!B38+'1_Cost_Job'!B43+'1_Cost_Job'!B47</f>
        <v>3.2456262666666666E-2</v>
      </c>
    </row>
    <row r="30" spans="1:8" ht="15.75" customHeight="1" x14ac:dyDescent="0.35">
      <c r="A30" s="6" t="s">
        <v>222</v>
      </c>
      <c r="B30" s="15">
        <f>'1_Cost_Job'!B51*('1_Cost_Job'!B52/60)*'1_Cost_Job'!B50</f>
        <v>4.7764615972487592E-3</v>
      </c>
    </row>
    <row r="31" spans="1:8" ht="15.75" customHeight="1" x14ac:dyDescent="0.35">
      <c r="A31" s="6" t="s">
        <v>223</v>
      </c>
      <c r="B31" s="15">
        <f>IF('1_Cost_Job'!B6="B",('1_Cost_Job'!B53/60)*'1_Cost_Job'!B50,0)</f>
        <v>0</v>
      </c>
    </row>
    <row r="32" spans="1:8" ht="15.75" customHeight="1" x14ac:dyDescent="0.35">
      <c r="A32" s="6" t="s">
        <v>224</v>
      </c>
      <c r="B32" s="39">
        <v>0.6</v>
      </c>
    </row>
    <row r="33" spans="1:8" ht="15.75" customHeight="1" x14ac:dyDescent="0.35">
      <c r="A33" s="12" t="s">
        <v>225</v>
      </c>
      <c r="B33" s="22">
        <f>IF((B19*(1-B32)+B31)=0,0,(B29+B30+B31)/(B19*(1-B32)+B31))</f>
        <v>0.69986323804352302</v>
      </c>
      <c r="D33" s="3" t="s">
        <v>226</v>
      </c>
    </row>
    <row r="34" spans="1:8" ht="15.75" customHeight="1" x14ac:dyDescent="0.35">
      <c r="A34" s="6" t="s">
        <v>227</v>
      </c>
      <c r="B34" s="25">
        <f>'1_Cost_Job'!B10</f>
        <v>0.85699999999999998</v>
      </c>
    </row>
    <row r="35" spans="1:8" ht="15.75" customHeight="1" x14ac:dyDescent="0.35">
      <c r="A35" s="6" t="s">
        <v>228</v>
      </c>
      <c r="B35" s="8" t="str">
        <f>IF(B34&gt;=B33,"ĐẠT — mô hình có lãi lành mạnh","CHƯA ĐẠT — phải tăng containment, tăng giá, hoặc đổi biến thể HITL")</f>
        <v>ĐẠT — mô hình có lãi lành mạnh</v>
      </c>
    </row>
    <row r="36" spans="1:8" ht="15.75" customHeight="1" x14ac:dyDescent="0.35"/>
    <row r="37" spans="1:8" ht="15.75" customHeight="1" x14ac:dyDescent="0.35">
      <c r="A37" s="7" t="s">
        <v>229</v>
      </c>
      <c r="B37" s="10"/>
      <c r="C37" s="10"/>
      <c r="D37" s="10"/>
      <c r="E37" s="10"/>
      <c r="F37" s="40" t="s">
        <v>230</v>
      </c>
      <c r="G37" s="10"/>
      <c r="H37" s="10"/>
    </row>
    <row r="38" spans="1:8" ht="15.75" customHeight="1" x14ac:dyDescent="0.35">
      <c r="A38" s="19" t="s">
        <v>231</v>
      </c>
      <c r="B38" s="19" t="s">
        <v>232</v>
      </c>
      <c r="C38" s="19" t="s">
        <v>233</v>
      </c>
      <c r="D38" s="19" t="s">
        <v>234</v>
      </c>
      <c r="F38" s="42" t="s">
        <v>235</v>
      </c>
      <c r="G38" s="42" t="s">
        <v>232</v>
      </c>
      <c r="H38" s="42" t="s">
        <v>233</v>
      </c>
    </row>
    <row r="39" spans="1:8" ht="15.75" customHeight="1" x14ac:dyDescent="0.35">
      <c r="A39" s="31">
        <v>0.5</v>
      </c>
      <c r="B39" s="17">
        <f t="shared" ref="B39:B44" si="0">($B$29+$B$30+$B$31*(1-A39))/A39</f>
        <v>7.4465448527830852E-2</v>
      </c>
      <c r="C39" s="20">
        <f t="shared" ref="C39:C44" si="1">IF($B$19=0,0,1-B39/$B$19)</f>
        <v>0.44010940956518163</v>
      </c>
      <c r="D39" s="8" t="str">
        <f t="shared" ref="D39:D44" si="2">IF(C39&gt;=0.6,"An toàn",IF(C39&gt;=0.5,"Cảnh báo","Nguy hiểm"))</f>
        <v>Nguy hiểm</v>
      </c>
      <c r="F39" s="44">
        <v>300</v>
      </c>
      <c r="G39" s="53">
        <f>($B$29-'1_Cost_Job'!$G$38+'1_Cost_Job'!$G$36/F39+$B$30)/'1_Cost_Job'!$B$10</f>
        <v>0.11345708782253842</v>
      </c>
      <c r="H39" s="54">
        <f>IF($B$19=0,0,1-G39/$B$19)</f>
        <v>0.14693918930422245</v>
      </c>
    </row>
    <row r="40" spans="1:8" ht="15.75" customHeight="1" x14ac:dyDescent="0.35">
      <c r="A40" s="31">
        <v>0.6</v>
      </c>
      <c r="B40" s="17">
        <f t="shared" si="0"/>
        <v>6.2054540439859043E-2</v>
      </c>
      <c r="C40" s="20">
        <f t="shared" si="1"/>
        <v>0.53342450797098473</v>
      </c>
      <c r="D40" s="8" t="str">
        <f t="shared" si="2"/>
        <v>Cảnh báo</v>
      </c>
      <c r="F40" s="44">
        <v>600</v>
      </c>
      <c r="G40" s="53">
        <f>($B$29-'1_Cost_Job'!$G$38+'1_Cost_Job'!$G$36/F40+$B$30)/'1_Cost_Job'!$B$10</f>
        <v>7.4561716371741055E-2</v>
      </c>
      <c r="H40" s="54">
        <f>IF($B$19=0,0,1-G40/$B$19)</f>
        <v>0.43938559118991694</v>
      </c>
    </row>
    <row r="41" spans="1:8" ht="15.75" customHeight="1" x14ac:dyDescent="0.35">
      <c r="A41" s="31">
        <v>0.7</v>
      </c>
      <c r="B41" s="17">
        <f t="shared" si="0"/>
        <v>5.3189606091307753E-2</v>
      </c>
      <c r="C41" s="20">
        <f t="shared" si="1"/>
        <v>0.60007814968941542</v>
      </c>
      <c r="D41" s="8" t="str">
        <f t="shared" si="2"/>
        <v>An toàn</v>
      </c>
      <c r="F41" s="44">
        <v>1500</v>
      </c>
      <c r="G41" s="53">
        <f>($B$29-'1_Cost_Job'!$G$38+'1_Cost_Job'!$G$36/F41+$B$30)/'1_Cost_Job'!$B$10</f>
        <v>5.1224493501262652E-2</v>
      </c>
      <c r="H41" s="54">
        <f>IF($B$19=0,0,1-G41/$B$19)</f>
        <v>0.61485343232133349</v>
      </c>
    </row>
    <row r="42" spans="1:8" ht="15.75" customHeight="1" x14ac:dyDescent="0.35">
      <c r="A42" s="31">
        <v>0.8</v>
      </c>
      <c r="B42" s="17">
        <f t="shared" si="0"/>
        <v>4.6540905329894279E-2</v>
      </c>
      <c r="C42" s="20">
        <f t="shared" si="1"/>
        <v>0.6500683809782386</v>
      </c>
      <c r="D42" s="8" t="str">
        <f t="shared" si="2"/>
        <v>An toàn</v>
      </c>
      <c r="F42" s="44">
        <v>3000</v>
      </c>
      <c r="G42" s="53">
        <f>($B$29-'1_Cost_Job'!$G$38+'1_Cost_Job'!$G$36/F42+$B$30)/'1_Cost_Job'!$B$10</f>
        <v>4.3445419211103183E-2</v>
      </c>
      <c r="H42" s="54">
        <f>IF($B$19=0,0,1-G42/$B$19)</f>
        <v>0.67334271269847235</v>
      </c>
    </row>
    <row r="43" spans="1:8" ht="15.75" customHeight="1" x14ac:dyDescent="0.35">
      <c r="A43" s="31">
        <v>0.9</v>
      </c>
      <c r="B43" s="17">
        <f t="shared" si="0"/>
        <v>4.1369693626572696E-2</v>
      </c>
      <c r="C43" s="20">
        <f t="shared" si="1"/>
        <v>0.68894967198065649</v>
      </c>
      <c r="D43" s="8" t="str">
        <f t="shared" si="2"/>
        <v>An toàn</v>
      </c>
      <c r="F43" s="44">
        <v>6000</v>
      </c>
      <c r="G43" s="53">
        <f>($B$29-'1_Cost_Job'!$G$38+'1_Cost_Job'!$G$36/F43+$B$30)/'1_Cost_Job'!$B$10</f>
        <v>3.9555882066023444E-2</v>
      </c>
      <c r="H43" s="54">
        <f>IF($B$19=0,0,1-G43/$B$19)</f>
        <v>0.70258735288704177</v>
      </c>
    </row>
    <row r="44" spans="1:8" ht="15.75" customHeight="1" x14ac:dyDescent="0.35">
      <c r="A44" s="31">
        <v>0.95</v>
      </c>
      <c r="B44" s="17">
        <f t="shared" si="0"/>
        <v>3.9192341330437294E-2</v>
      </c>
      <c r="C44" s="20">
        <f t="shared" si="1"/>
        <v>0.70532074187641136</v>
      </c>
      <c r="D44" s="8" t="str">
        <f t="shared" si="2"/>
        <v>An toàn</v>
      </c>
      <c r="F44" s="43" t="s">
        <v>236</v>
      </c>
      <c r="G44" s="55">
        <f>IFERROR('1_Cost_Job'!$G$36/($B$19*(1-$B$32)*'1_Cost_Job'!$B$10-($B$29-'1_Cost_Job'!$G$38)-$B$30),0)</f>
        <v>1330.9958913446628</v>
      </c>
    </row>
    <row r="45" spans="1:8" ht="15.75" customHeight="1" x14ac:dyDescent="0.35">
      <c r="F45" s="43" t="s">
        <v>237</v>
      </c>
      <c r="G45" s="55">
        <f>G44/30</f>
        <v>44.366529711488759</v>
      </c>
    </row>
    <row r="46" spans="1:8" ht="15.75" customHeight="1" x14ac:dyDescent="0.35">
      <c r="A46" s="3" t="s">
        <v>238</v>
      </c>
    </row>
    <row r="47" spans="1:8" ht="15.75" customHeight="1" x14ac:dyDescent="0.35"/>
    <row r="48" spans="1:8" ht="15.75" customHeight="1" x14ac:dyDescent="0.35">
      <c r="A48" s="7" t="s">
        <v>239</v>
      </c>
      <c r="B48" s="10"/>
      <c r="C48" s="10"/>
      <c r="D48" s="10"/>
      <c r="E48" s="10"/>
      <c r="F48" s="10"/>
      <c r="G48" s="10"/>
      <c r="H48" s="10"/>
    </row>
    <row r="49" spans="1:2" ht="15.75" customHeight="1" x14ac:dyDescent="0.35">
      <c r="A49" s="12" t="s">
        <v>232</v>
      </c>
      <c r="B49" s="16">
        <f>B5</f>
        <v>4.3445419211103183E-2</v>
      </c>
    </row>
    <row r="50" spans="1:2" ht="15.75" customHeight="1" x14ac:dyDescent="0.35">
      <c r="A50" s="12" t="s">
        <v>240</v>
      </c>
      <c r="B50" s="16">
        <f>B7</f>
        <v>0.13033625763330955</v>
      </c>
    </row>
    <row r="51" spans="1:2" ht="15.75" customHeight="1" x14ac:dyDescent="0.35">
      <c r="A51" s="12" t="s">
        <v>241</v>
      </c>
      <c r="B51" s="16">
        <f>B19</f>
        <v>0.13300000000000001</v>
      </c>
    </row>
    <row r="52" spans="1:2" ht="15.75" customHeight="1" x14ac:dyDescent="0.35">
      <c r="A52" s="12" t="s">
        <v>233</v>
      </c>
      <c r="B52" s="22">
        <f>B21</f>
        <v>0.67334271269847235</v>
      </c>
    </row>
    <row r="53" spans="1:2" ht="15.75" customHeight="1" x14ac:dyDescent="0.35">
      <c r="A53" s="12" t="s">
        <v>242</v>
      </c>
      <c r="B53" s="22">
        <f>B33</f>
        <v>0.69986323804352302</v>
      </c>
    </row>
    <row r="54" spans="1:2" ht="15.75" customHeight="1" x14ac:dyDescent="0.35"/>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F13:G16"/>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topLeftCell="A21" workbookViewId="0"/>
  </sheetViews>
  <sheetFormatPr defaultColWidth="14.453125" defaultRowHeight="15" customHeight="1" x14ac:dyDescent="0.35"/>
  <cols>
    <col min="1" max="1" width="72" customWidth="1"/>
    <col min="2" max="2" width="12" customWidth="1"/>
    <col min="3" max="3" width="50" customWidth="1"/>
    <col min="4" max="4" width="46" customWidth="1"/>
    <col min="5" max="8" width="70" customWidth="1"/>
    <col min="9" max="26" width="8.7265625" customWidth="1"/>
  </cols>
  <sheetData>
    <row r="1" spans="1:8" ht="24" customHeight="1" x14ac:dyDescent="0.4">
      <c r="A1" s="1" t="s">
        <v>243</v>
      </c>
      <c r="B1" s="2"/>
      <c r="C1" s="2"/>
      <c r="D1" s="2"/>
      <c r="E1" s="2"/>
      <c r="F1" s="2"/>
      <c r="G1" s="2"/>
      <c r="H1" s="2"/>
    </row>
    <row r="2" spans="1:8" ht="14.5" x14ac:dyDescent="0.35">
      <c r="A2" s="3" t="s">
        <v>244</v>
      </c>
    </row>
    <row r="4" spans="1:8" ht="14.5" x14ac:dyDescent="0.35">
      <c r="A4" s="7" t="s">
        <v>245</v>
      </c>
      <c r="B4" s="10"/>
      <c r="C4" s="10"/>
      <c r="D4" s="10"/>
      <c r="E4" s="10"/>
      <c r="F4" s="10"/>
      <c r="G4" s="10"/>
      <c r="H4" s="10"/>
    </row>
    <row r="5" spans="1:8" ht="24" x14ac:dyDescent="0.35">
      <c r="A5" s="6" t="s">
        <v>246</v>
      </c>
      <c r="B5" s="37">
        <v>1</v>
      </c>
      <c r="E5" s="36" t="s">
        <v>247</v>
      </c>
    </row>
    <row r="6" spans="1:8" ht="24" x14ac:dyDescent="0.35">
      <c r="A6" s="6" t="s">
        <v>248</v>
      </c>
      <c r="B6" s="37">
        <v>2</v>
      </c>
      <c r="E6" s="36" t="s">
        <v>249</v>
      </c>
    </row>
    <row r="7" spans="1:8" ht="14.5" x14ac:dyDescent="0.35">
      <c r="A7" s="6" t="s">
        <v>250</v>
      </c>
      <c r="B7" s="37">
        <v>0</v>
      </c>
      <c r="E7" s="36" t="s">
        <v>251</v>
      </c>
    </row>
    <row r="8" spans="1:8" ht="24" x14ac:dyDescent="0.35">
      <c r="A8" s="6" t="s">
        <v>252</v>
      </c>
      <c r="B8" s="37">
        <v>1</v>
      </c>
      <c r="E8" s="36" t="s">
        <v>253</v>
      </c>
    </row>
    <row r="9" spans="1:8" ht="24" x14ac:dyDescent="0.35">
      <c r="A9" s="6" t="s">
        <v>254</v>
      </c>
      <c r="B9" s="37">
        <v>2</v>
      </c>
      <c r="E9" s="36" t="s">
        <v>255</v>
      </c>
    </row>
    <row r="10" spans="1:8" ht="14.5" x14ac:dyDescent="0.35">
      <c r="A10" s="12" t="s">
        <v>256</v>
      </c>
      <c r="B10" s="13">
        <f>SUM(B5:B9)</f>
        <v>6</v>
      </c>
    </row>
    <row r="12" spans="1:8" ht="14.5" x14ac:dyDescent="0.35">
      <c r="A12" s="7" t="s">
        <v>257</v>
      </c>
      <c r="B12" s="10"/>
      <c r="C12" s="10"/>
      <c r="D12" s="10"/>
      <c r="E12" s="10"/>
      <c r="F12" s="10"/>
      <c r="G12" s="10"/>
      <c r="H12" s="10"/>
    </row>
    <row r="13" spans="1:8" ht="14.5" x14ac:dyDescent="0.35">
      <c r="A13" s="6" t="s">
        <v>258</v>
      </c>
      <c r="B13" s="37">
        <v>2</v>
      </c>
      <c r="E13" s="36" t="s">
        <v>259</v>
      </c>
    </row>
    <row r="14" spans="1:8" ht="14.5" x14ac:dyDescent="0.35">
      <c r="A14" s="6" t="s">
        <v>260</v>
      </c>
      <c r="B14" s="37">
        <v>2</v>
      </c>
      <c r="E14" s="36" t="s">
        <v>261</v>
      </c>
    </row>
    <row r="15" spans="1:8" ht="24" x14ac:dyDescent="0.35">
      <c r="A15" s="6" t="s">
        <v>262</v>
      </c>
      <c r="B15" s="37">
        <v>1</v>
      </c>
      <c r="E15" s="36" t="s">
        <v>263</v>
      </c>
    </row>
    <row r="16" spans="1:8" ht="14.5" x14ac:dyDescent="0.35">
      <c r="A16" s="6" t="s">
        <v>264</v>
      </c>
      <c r="B16" s="37">
        <v>1</v>
      </c>
      <c r="E16" s="36" t="s">
        <v>265</v>
      </c>
    </row>
    <row r="17" spans="1:8" ht="14.5" x14ac:dyDescent="0.35">
      <c r="A17" s="6" t="s">
        <v>266</v>
      </c>
      <c r="B17" s="37">
        <v>2</v>
      </c>
      <c r="E17" s="36" t="s">
        <v>267</v>
      </c>
    </row>
    <row r="18" spans="1:8" ht="14.5" x14ac:dyDescent="0.35">
      <c r="A18" s="12" t="s">
        <v>268</v>
      </c>
      <c r="B18" s="13">
        <f>SUM(B13:B17)</f>
        <v>8</v>
      </c>
    </row>
    <row r="20" spans="1:8" ht="14.5" x14ac:dyDescent="0.35">
      <c r="A20" s="7" t="s">
        <v>269</v>
      </c>
      <c r="B20" s="10"/>
      <c r="C20" s="10"/>
      <c r="D20" s="10"/>
      <c r="E20" s="10"/>
      <c r="F20" s="10"/>
      <c r="G20" s="10"/>
      <c r="H20" s="10"/>
    </row>
    <row r="21" spans="1:8" ht="15.75" customHeight="1" x14ac:dyDescent="0.35">
      <c r="A21" s="12" t="s">
        <v>270</v>
      </c>
      <c r="B21" s="18" t="str">
        <f>IF(AND(B10&gt;=7,B18&gt;=7),"OUTCOME",IF(AND(B10&gt;=7,B18&lt;7),"USAGE",IF(AND(B10&lt;7,B18&gt;=7),"USAGE (an toàn)","SEAT hoặc HYBRID")))</f>
        <v>USAGE (an toàn)</v>
      </c>
    </row>
    <row r="22" spans="1:8" ht="15.75" customHeight="1" x14ac:dyDescent="0.35">
      <c r="A22" s="3" t="s">
        <v>271</v>
      </c>
    </row>
    <row r="23" spans="1:8" ht="15.75" customHeight="1" x14ac:dyDescent="0.35"/>
    <row r="24" spans="1:8" ht="15.75" customHeight="1" x14ac:dyDescent="0.35">
      <c r="A24" s="7" t="s">
        <v>272</v>
      </c>
      <c r="B24" s="10"/>
      <c r="C24" s="10"/>
      <c r="D24" s="10"/>
      <c r="E24" s="10"/>
      <c r="F24" s="10"/>
      <c r="G24" s="10"/>
      <c r="H24" s="10"/>
    </row>
    <row r="25" spans="1:8" ht="15.75" customHeight="1" x14ac:dyDescent="0.35">
      <c r="A25" s="19" t="s">
        <v>273</v>
      </c>
      <c r="B25" s="19" t="s">
        <v>274</v>
      </c>
      <c r="C25" s="19" t="s">
        <v>275</v>
      </c>
      <c r="D25" s="19" t="s">
        <v>276</v>
      </c>
    </row>
    <row r="26" spans="1:8" ht="15.75" customHeight="1" x14ac:dyDescent="0.35">
      <c r="A26" s="56" t="s">
        <v>277</v>
      </c>
      <c r="B26" s="56" t="s">
        <v>278</v>
      </c>
      <c r="C26" s="56" t="s">
        <v>279</v>
      </c>
      <c r="D26" s="56" t="s">
        <v>280</v>
      </c>
    </row>
    <row r="27" spans="1:8" ht="15.75" customHeight="1" x14ac:dyDescent="0.35">
      <c r="A27" s="56" t="s">
        <v>281</v>
      </c>
      <c r="B27" s="56" t="s">
        <v>282</v>
      </c>
      <c r="C27" s="56" t="s">
        <v>283</v>
      </c>
      <c r="D27" s="56" t="s">
        <v>284</v>
      </c>
    </row>
    <row r="28" spans="1:8" ht="15.75" customHeight="1" x14ac:dyDescent="0.35"/>
    <row r="29" spans="1:8" ht="15.75" customHeight="1" x14ac:dyDescent="0.35">
      <c r="A29" s="7" t="s">
        <v>285</v>
      </c>
      <c r="B29" s="10"/>
      <c r="C29" s="10"/>
      <c r="D29" s="10"/>
      <c r="E29" s="10"/>
      <c r="F29" s="10"/>
      <c r="G29" s="10"/>
      <c r="H29" s="10"/>
    </row>
    <row r="30" spans="1:8" ht="15.75" customHeight="1" x14ac:dyDescent="0.35">
      <c r="A30" s="6" t="s">
        <v>286</v>
      </c>
      <c r="B30" s="35" t="s">
        <v>287</v>
      </c>
    </row>
    <row r="31" spans="1:8" ht="15.75" customHeight="1" x14ac:dyDescent="0.35">
      <c r="A31" s="6" t="s">
        <v>288</v>
      </c>
      <c r="B31" s="56" t="s">
        <v>289</v>
      </c>
    </row>
    <row r="32" spans="1:8" ht="15.75" customHeight="1" x14ac:dyDescent="0.35">
      <c r="A32" s="6" t="s">
        <v>290</v>
      </c>
      <c r="B32" s="56" t="s">
        <v>291</v>
      </c>
    </row>
    <row r="33" spans="1:2" ht="15.75" customHeight="1" x14ac:dyDescent="0.35">
      <c r="A33" s="6" t="s">
        <v>292</v>
      </c>
      <c r="B33" s="56" t="s">
        <v>293</v>
      </c>
    </row>
    <row r="34" spans="1:2" ht="15.75" customHeight="1" x14ac:dyDescent="0.35">
      <c r="A34" s="6" t="s">
        <v>294</v>
      </c>
      <c r="B34" s="56" t="s">
        <v>295</v>
      </c>
    </row>
    <row r="35" spans="1:2" ht="15.75" customHeight="1" x14ac:dyDescent="0.35"/>
    <row r="36" spans="1:2" ht="15.75" customHeight="1" x14ac:dyDescent="0.35"/>
    <row r="37" spans="1:2" ht="15.75" customHeight="1" x14ac:dyDescent="0.35"/>
    <row r="38" spans="1:2" ht="15.75" customHeight="1" x14ac:dyDescent="0.35"/>
    <row r="39" spans="1:2" ht="15.75" customHeight="1" x14ac:dyDescent="0.35"/>
    <row r="40" spans="1:2" ht="15.75" customHeight="1" x14ac:dyDescent="0.35"/>
    <row r="41" spans="1:2" ht="15.75" customHeight="1" x14ac:dyDescent="0.35"/>
    <row r="42" spans="1:2" ht="15.75" customHeight="1" x14ac:dyDescent="0.35"/>
    <row r="43" spans="1:2" ht="15.75" customHeight="1" x14ac:dyDescent="0.35"/>
    <row r="44" spans="1:2" ht="15.75" customHeight="1" x14ac:dyDescent="0.35"/>
    <row r="45" spans="1:2" ht="15.75" customHeight="1" x14ac:dyDescent="0.35"/>
    <row r="46" spans="1:2" ht="15.75" customHeight="1" x14ac:dyDescent="0.35"/>
    <row r="47" spans="1:2" ht="15.75" customHeight="1" x14ac:dyDescent="0.35"/>
    <row r="48" spans="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53125" defaultRowHeight="15" customHeight="1" x14ac:dyDescent="0.35"/>
  <cols>
    <col min="1" max="1" width="46" customWidth="1"/>
    <col min="2" max="3" width="16" customWidth="1"/>
    <col min="4" max="4" width="54" customWidth="1"/>
    <col min="5" max="8" width="60" customWidth="1"/>
    <col min="9" max="26" width="8.7265625" customWidth="1"/>
  </cols>
  <sheetData>
    <row r="1" spans="1:8" ht="24" customHeight="1" x14ac:dyDescent="0.4">
      <c r="A1" s="1" t="s">
        <v>296</v>
      </c>
      <c r="B1" s="2"/>
      <c r="C1" s="2"/>
      <c r="D1" s="2"/>
      <c r="E1" s="2"/>
      <c r="F1" s="2"/>
      <c r="G1" s="2"/>
      <c r="H1" s="2"/>
    </row>
    <row r="2" spans="1:8" ht="14.5" x14ac:dyDescent="0.35">
      <c r="A2" s="3" t="s">
        <v>297</v>
      </c>
    </row>
    <row r="4" spans="1:8" ht="14.5" x14ac:dyDescent="0.35">
      <c r="A4" s="7" t="s">
        <v>298</v>
      </c>
      <c r="B4" s="10"/>
      <c r="C4" s="10"/>
      <c r="D4" s="10"/>
      <c r="E4" s="10"/>
      <c r="F4" s="10"/>
      <c r="G4" s="10"/>
      <c r="H4" s="10"/>
    </row>
    <row r="5" spans="1:8" ht="14.5" x14ac:dyDescent="0.35">
      <c r="A5" s="6" t="s">
        <v>299</v>
      </c>
      <c r="B5" s="52">
        <f>'2_Pricing'!G19</f>
        <v>3.99</v>
      </c>
      <c r="E5" s="36" t="s">
        <v>300</v>
      </c>
    </row>
    <row r="6" spans="1:8" ht="14.5" x14ac:dyDescent="0.35">
      <c r="A6" s="6" t="s">
        <v>301</v>
      </c>
      <c r="B6" s="25">
        <f>'2_Pricing'!B21</f>
        <v>0.67334271269847235</v>
      </c>
    </row>
    <row r="7" spans="1:8" ht="24" x14ac:dyDescent="0.35">
      <c r="A7" s="6" t="s">
        <v>302</v>
      </c>
      <c r="B7" s="37" t="s">
        <v>303</v>
      </c>
      <c r="E7" s="36" t="s">
        <v>304</v>
      </c>
    </row>
    <row r="8" spans="1:8" ht="14.5" x14ac:dyDescent="0.35">
      <c r="A8" s="6" t="s">
        <v>305</v>
      </c>
      <c r="B8" s="14">
        <f>IF(B7="SMB",12,IF(B7="Mid",18,24))</f>
        <v>12</v>
      </c>
      <c r="C8" s="3" t="s">
        <v>306</v>
      </c>
      <c r="D8" s="3" t="s">
        <v>307</v>
      </c>
    </row>
    <row r="9" spans="1:8" ht="14.5" x14ac:dyDescent="0.35">
      <c r="A9" s="12" t="s">
        <v>308</v>
      </c>
      <c r="B9" s="26">
        <f>B5*B6*B8</f>
        <v>32.239649084002856</v>
      </c>
      <c r="D9" s="3" t="s">
        <v>309</v>
      </c>
    </row>
    <row r="10" spans="1:8" ht="14.5" x14ac:dyDescent="0.35">
      <c r="A10" s="6" t="s">
        <v>310</v>
      </c>
      <c r="B10" s="28">
        <f>B5*12</f>
        <v>47.88</v>
      </c>
    </row>
    <row r="12" spans="1:8" ht="14.5" x14ac:dyDescent="0.35">
      <c r="A12" s="7" t="s">
        <v>311</v>
      </c>
      <c r="B12" s="10"/>
      <c r="C12" s="10"/>
      <c r="D12" s="10"/>
      <c r="E12" s="10"/>
      <c r="F12" s="10"/>
      <c r="G12" s="10"/>
      <c r="H12" s="10"/>
    </row>
    <row r="13" spans="1:8" ht="24" x14ac:dyDescent="0.35">
      <c r="A13" s="6" t="s">
        <v>312</v>
      </c>
      <c r="B13" s="52">
        <v>500000</v>
      </c>
      <c r="D13" s="3" t="s">
        <v>313</v>
      </c>
      <c r="E13" s="36" t="s">
        <v>314</v>
      </c>
    </row>
    <row r="14" spans="1:8" ht="14.5" x14ac:dyDescent="0.35">
      <c r="A14" s="6" t="s">
        <v>315</v>
      </c>
      <c r="B14" s="38">
        <v>250</v>
      </c>
      <c r="C14" s="3" t="s">
        <v>316</v>
      </c>
    </row>
    <row r="15" spans="1:8" ht="14.5" x14ac:dyDescent="0.35">
      <c r="A15" s="6" t="s">
        <v>317</v>
      </c>
      <c r="B15" s="14">
        <f>IF(B10=0,0,B13/B10)</f>
        <v>10442.773600668337</v>
      </c>
    </row>
    <row r="16" spans="1:8" ht="14.5" x14ac:dyDescent="0.35">
      <c r="A16" s="12" t="s">
        <v>318</v>
      </c>
      <c r="B16" s="29">
        <f>IF(B14=0,0,B15/B14)</f>
        <v>41.771094402673349</v>
      </c>
      <c r="C16" s="3" t="s">
        <v>319</v>
      </c>
    </row>
    <row r="17" spans="1:8" ht="14.5" x14ac:dyDescent="0.35">
      <c r="A17" s="6" t="s">
        <v>320</v>
      </c>
      <c r="B17" s="8" t="str">
        <f>IF(B16&lt;=1,"KHẢ THI về mặt số học","BẤT KHẢ THI — ACV quá thấp để nuôi sales rep")</f>
        <v>BẤT KHẢ THI — ACV quá thấp để nuôi sales rep</v>
      </c>
    </row>
    <row r="19" spans="1:8" ht="14.5" x14ac:dyDescent="0.35">
      <c r="A19" s="7" t="s">
        <v>321</v>
      </c>
      <c r="B19" s="10"/>
      <c r="C19" s="10"/>
      <c r="D19" s="10"/>
      <c r="E19" s="10"/>
      <c r="F19" s="10"/>
      <c r="G19" s="10"/>
      <c r="H19" s="10"/>
    </row>
    <row r="20" spans="1:8" ht="24" x14ac:dyDescent="0.35">
      <c r="A20" s="6" t="s">
        <v>322</v>
      </c>
      <c r="B20" s="52">
        <v>6300</v>
      </c>
      <c r="D20" s="3" t="s">
        <v>323</v>
      </c>
      <c r="E20" s="36" t="s">
        <v>324</v>
      </c>
    </row>
    <row r="21" spans="1:8" ht="15.75" customHeight="1" x14ac:dyDescent="0.35">
      <c r="A21" s="6" t="s">
        <v>325</v>
      </c>
      <c r="B21" s="39">
        <v>0.25</v>
      </c>
      <c r="E21" s="36" t="s">
        <v>326</v>
      </c>
    </row>
    <row r="22" spans="1:8" ht="15.75" customHeight="1" x14ac:dyDescent="0.35">
      <c r="A22" s="6" t="s">
        <v>327</v>
      </c>
      <c r="B22" s="28">
        <f>IF(B21=0,0,B20/B21)</f>
        <v>25200</v>
      </c>
    </row>
    <row r="23" spans="1:8" ht="15.75" customHeight="1" x14ac:dyDescent="0.35">
      <c r="A23" s="12" t="s">
        <v>328</v>
      </c>
      <c r="B23" s="30">
        <f>IF(B9=0,0,B22/B9)</f>
        <v>781.6462249430657</v>
      </c>
      <c r="D23" s="3" t="s">
        <v>329</v>
      </c>
    </row>
    <row r="24" spans="1:8" ht="15.75" customHeight="1" x14ac:dyDescent="0.35">
      <c r="A24" s="6" t="s">
        <v>228</v>
      </c>
      <c r="B24" s="8" t="str">
        <f>IF(B23&lt;=1,"Motion có sales KHẢ THI",IF(B23&lt;=3,"Căng — cần tăng giá hoặc giảm chi phí bán hàng","KHÔNG KHẢ THI — đi PLG hoặc Partner-Led"))</f>
        <v>KHÔNG KHẢ THI — đi PLG hoặc Partner-Led</v>
      </c>
    </row>
    <row r="25" spans="1:8" ht="15.75" customHeight="1" x14ac:dyDescent="0.35"/>
    <row r="26" spans="1:8" ht="15.75" customHeight="1" x14ac:dyDescent="0.35">
      <c r="A26" s="7" t="s">
        <v>330</v>
      </c>
      <c r="B26" s="10"/>
      <c r="C26" s="10"/>
      <c r="D26" s="10"/>
      <c r="E26" s="10"/>
      <c r="F26" s="10"/>
      <c r="G26" s="10"/>
      <c r="H26" s="10"/>
    </row>
    <row r="27" spans="1:8" ht="15.75" customHeight="1" x14ac:dyDescent="0.35">
      <c r="A27" s="19" t="s">
        <v>331</v>
      </c>
      <c r="B27" s="19" t="s">
        <v>332</v>
      </c>
      <c r="C27" s="19" t="s">
        <v>333</v>
      </c>
      <c r="D27" s="19" t="s">
        <v>334</v>
      </c>
    </row>
    <row r="28" spans="1:8" ht="15.75" customHeight="1" x14ac:dyDescent="0.35">
      <c r="A28" s="6" t="s">
        <v>335</v>
      </c>
      <c r="B28" s="37">
        <v>4</v>
      </c>
      <c r="C28" s="37">
        <v>1</v>
      </c>
      <c r="D28" s="37">
        <v>2</v>
      </c>
      <c r="E28" s="36" t="s">
        <v>336</v>
      </c>
    </row>
    <row r="29" spans="1:8" ht="15.75" customHeight="1" x14ac:dyDescent="0.35">
      <c r="A29" s="6" t="s">
        <v>337</v>
      </c>
      <c r="B29" s="37">
        <v>4</v>
      </c>
      <c r="C29" s="37">
        <v>1</v>
      </c>
      <c r="D29" s="37">
        <v>2</v>
      </c>
      <c r="E29" s="36" t="s">
        <v>338</v>
      </c>
    </row>
    <row r="30" spans="1:8" ht="15.75" customHeight="1" x14ac:dyDescent="0.35">
      <c r="A30" s="6" t="s">
        <v>339</v>
      </c>
      <c r="B30" s="37">
        <v>4</v>
      </c>
      <c r="C30" s="37">
        <v>1</v>
      </c>
      <c r="D30" s="37">
        <v>2</v>
      </c>
      <c r="E30" s="36" t="s">
        <v>340</v>
      </c>
    </row>
    <row r="31" spans="1:8" ht="15.75" customHeight="1" x14ac:dyDescent="0.35">
      <c r="A31" s="6" t="s">
        <v>341</v>
      </c>
      <c r="B31" s="37">
        <v>3</v>
      </c>
      <c r="C31" s="37">
        <v>2</v>
      </c>
      <c r="D31" s="37">
        <v>1</v>
      </c>
      <c r="E31" s="36" t="s">
        <v>342</v>
      </c>
    </row>
    <row r="32" spans="1:8" ht="15.75" customHeight="1" x14ac:dyDescent="0.35">
      <c r="A32" s="6" t="s">
        <v>343</v>
      </c>
      <c r="B32" s="37">
        <v>5</v>
      </c>
      <c r="C32" s="37">
        <v>2</v>
      </c>
      <c r="D32" s="37">
        <v>3</v>
      </c>
      <c r="E32" s="36" t="s">
        <v>344</v>
      </c>
    </row>
    <row r="33" spans="1:8" ht="15.75" customHeight="1" x14ac:dyDescent="0.35">
      <c r="A33" s="6" t="s">
        <v>345</v>
      </c>
      <c r="B33" s="37">
        <v>4</v>
      </c>
      <c r="C33" s="37">
        <v>3</v>
      </c>
      <c r="D33" s="37">
        <v>2</v>
      </c>
      <c r="E33" s="36" t="s">
        <v>346</v>
      </c>
    </row>
    <row r="34" spans="1:8" ht="15.75" customHeight="1" x14ac:dyDescent="0.35">
      <c r="A34" s="12" t="s">
        <v>347</v>
      </c>
      <c r="B34" s="18">
        <f>SUM(B28:B33)</f>
        <v>24</v>
      </c>
      <c r="C34" s="18">
        <f>SUM(C28:C33)</f>
        <v>10</v>
      </c>
      <c r="D34" s="18">
        <f>SUM(D28:D33)</f>
        <v>12</v>
      </c>
    </row>
    <row r="35" spans="1:8" ht="15.75" customHeight="1" x14ac:dyDescent="0.35">
      <c r="A35" s="12" t="s">
        <v>348</v>
      </c>
      <c r="B35" s="18" t="str">
        <f>IF(AND(B34&gt;=C34,B34&gt;=D34),"PLG",IF(C34&gt;=D34,"Sales-Led","Partner-Led"))</f>
        <v>PLG</v>
      </c>
    </row>
    <row r="36" spans="1:8" ht="15.75" customHeight="1" x14ac:dyDescent="0.35"/>
    <row r="37" spans="1:8" ht="15.75" customHeight="1" x14ac:dyDescent="0.35">
      <c r="A37" s="7" t="s">
        <v>349</v>
      </c>
      <c r="B37" s="10"/>
      <c r="C37" s="10"/>
      <c r="D37" s="10"/>
      <c r="E37" s="10"/>
      <c r="F37" s="10"/>
      <c r="G37" s="10"/>
      <c r="H37" s="10"/>
    </row>
    <row r="38" spans="1:8" ht="15.75" customHeight="1" x14ac:dyDescent="0.35">
      <c r="A38" s="6" t="s">
        <v>350</v>
      </c>
      <c r="B38" s="35" t="s">
        <v>332</v>
      </c>
      <c r="D38" s="3" t="s">
        <v>351</v>
      </c>
      <c r="E38" s="36" t="s">
        <v>352</v>
      </c>
    </row>
    <row r="39" spans="1:8" ht="15.75" customHeight="1" x14ac:dyDescent="0.35">
      <c r="A39" s="6" t="s">
        <v>353</v>
      </c>
      <c r="B39" s="35" t="s">
        <v>354</v>
      </c>
      <c r="D39" s="3" t="s">
        <v>355</v>
      </c>
    </row>
    <row r="40" spans="1:8" ht="15.75" customHeight="1" x14ac:dyDescent="0.35">
      <c r="A40" s="6" t="s">
        <v>356</v>
      </c>
      <c r="B40" s="35" t="s">
        <v>357</v>
      </c>
    </row>
    <row r="41" spans="1:8" ht="15.75" customHeight="1" x14ac:dyDescent="0.35">
      <c r="A41" s="6" t="s">
        <v>358</v>
      </c>
      <c r="B41" s="35" t="s">
        <v>357</v>
      </c>
    </row>
    <row r="42" spans="1:8" ht="15.75" customHeight="1" x14ac:dyDescent="0.35">
      <c r="A42" s="6" t="s">
        <v>359</v>
      </c>
      <c r="B42" s="56" t="s">
        <v>360</v>
      </c>
      <c r="D42" s="3" t="s">
        <v>361</v>
      </c>
    </row>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7" xr:uid="{00000000-0002-0000-0400-000000000000}">
      <formula1>"SMB,Mid,Enterprise"</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topLeftCell="A16" workbookViewId="0"/>
  </sheetViews>
  <sheetFormatPr defaultColWidth="14.453125" defaultRowHeight="15" customHeight="1" x14ac:dyDescent="0.35"/>
  <cols>
    <col min="1" max="1" width="30" customWidth="1"/>
    <col min="2" max="4" width="42" customWidth="1"/>
    <col min="5" max="8" width="15" customWidth="1"/>
    <col min="9" max="26" width="8.7265625" customWidth="1"/>
  </cols>
  <sheetData>
    <row r="1" spans="1:8" ht="24" customHeight="1" x14ac:dyDescent="0.4">
      <c r="A1" s="1" t="s">
        <v>362</v>
      </c>
      <c r="B1" s="2"/>
      <c r="C1" s="2"/>
      <c r="D1" s="2"/>
      <c r="E1" s="2"/>
      <c r="F1" s="2"/>
      <c r="G1" s="2"/>
      <c r="H1" s="2"/>
    </row>
    <row r="2" spans="1:8" ht="14.5" x14ac:dyDescent="0.35">
      <c r="A2" s="3" t="s">
        <v>363</v>
      </c>
    </row>
    <row r="4" spans="1:8" ht="14.5" x14ac:dyDescent="0.35">
      <c r="A4" s="7" t="s">
        <v>364</v>
      </c>
      <c r="B4" s="10"/>
      <c r="C4" s="10"/>
      <c r="D4" s="10"/>
      <c r="E4" s="10"/>
      <c r="F4" s="10"/>
      <c r="G4" s="10"/>
      <c r="H4" s="10"/>
    </row>
    <row r="5" spans="1:8" ht="14.5" x14ac:dyDescent="0.35">
      <c r="A5" s="6" t="s">
        <v>365</v>
      </c>
      <c r="B5" s="35" t="s">
        <v>366</v>
      </c>
    </row>
    <row r="6" spans="1:8" ht="14.5" x14ac:dyDescent="0.35">
      <c r="A6" s="6" t="s">
        <v>367</v>
      </c>
      <c r="B6" s="35" t="s">
        <v>368</v>
      </c>
    </row>
    <row r="7" spans="1:8" ht="14.5" x14ac:dyDescent="0.35">
      <c r="A7" s="6" t="s">
        <v>369</v>
      </c>
      <c r="B7" s="35" t="s">
        <v>370</v>
      </c>
    </row>
    <row r="8" spans="1:8" ht="14.5" x14ac:dyDescent="0.35">
      <c r="A8" s="6" t="s">
        <v>371</v>
      </c>
      <c r="B8" s="35" t="s">
        <v>372</v>
      </c>
      <c r="D8" s="3" t="s">
        <v>373</v>
      </c>
    </row>
    <row r="10" spans="1:8" ht="14.5" x14ac:dyDescent="0.35">
      <c r="A10" s="7" t="s">
        <v>374</v>
      </c>
      <c r="B10" s="10"/>
      <c r="C10" s="10"/>
      <c r="D10" s="10"/>
      <c r="E10" s="10"/>
      <c r="F10" s="10"/>
      <c r="G10" s="10"/>
      <c r="H10" s="10"/>
    </row>
    <row r="11" spans="1:8" ht="14.5" x14ac:dyDescent="0.35">
      <c r="A11" s="19"/>
      <c r="B11" s="19" t="s">
        <v>375</v>
      </c>
      <c r="C11" s="19" t="s">
        <v>376</v>
      </c>
      <c r="D11" s="19" t="s">
        <v>377</v>
      </c>
    </row>
    <row r="12" spans="1:8" ht="30" customHeight="1" x14ac:dyDescent="0.35">
      <c r="A12" s="6" t="s">
        <v>378</v>
      </c>
      <c r="B12" s="56" t="s">
        <v>379</v>
      </c>
      <c r="C12" s="56" t="s">
        <v>380</v>
      </c>
      <c r="D12" s="56" t="s">
        <v>381</v>
      </c>
    </row>
    <row r="13" spans="1:8" ht="30" customHeight="1" x14ac:dyDescent="0.35">
      <c r="A13" s="6" t="s">
        <v>382</v>
      </c>
      <c r="B13" s="56" t="s">
        <v>383</v>
      </c>
      <c r="C13" s="56" t="s">
        <v>384</v>
      </c>
      <c r="D13" s="56" t="s">
        <v>385</v>
      </c>
    </row>
    <row r="14" spans="1:8" ht="30" customHeight="1" x14ac:dyDescent="0.35">
      <c r="A14" s="6" t="s">
        <v>386</v>
      </c>
      <c r="B14" s="56" t="s">
        <v>387</v>
      </c>
      <c r="C14" s="56" t="s">
        <v>388</v>
      </c>
      <c r="D14" s="56" t="s">
        <v>389</v>
      </c>
    </row>
    <row r="15" spans="1:8" ht="30" customHeight="1" x14ac:dyDescent="0.35">
      <c r="A15" s="6" t="s">
        <v>390</v>
      </c>
      <c r="B15" s="56" t="s">
        <v>391</v>
      </c>
      <c r="C15" s="56" t="s">
        <v>392</v>
      </c>
      <c r="D15" s="56" t="s">
        <v>393</v>
      </c>
    </row>
    <row r="16" spans="1:8" ht="30" customHeight="1" x14ac:dyDescent="0.35">
      <c r="A16" s="6" t="s">
        <v>394</v>
      </c>
      <c r="B16" s="56" t="s">
        <v>395</v>
      </c>
      <c r="C16" s="56" t="s">
        <v>396</v>
      </c>
      <c r="D16" s="56" t="s">
        <v>397</v>
      </c>
    </row>
    <row r="17" spans="1:8" ht="30" customHeight="1" x14ac:dyDescent="0.35">
      <c r="A17" s="6" t="s">
        <v>398</v>
      </c>
      <c r="B17" s="56" t="s">
        <v>399</v>
      </c>
      <c r="C17" s="56" t="s">
        <v>400</v>
      </c>
      <c r="D17" s="56" t="s">
        <v>401</v>
      </c>
    </row>
    <row r="18" spans="1:8" ht="30" customHeight="1" x14ac:dyDescent="0.35">
      <c r="A18" s="6" t="s">
        <v>402</v>
      </c>
      <c r="B18" s="56" t="s">
        <v>403</v>
      </c>
      <c r="C18" s="56" t="s">
        <v>404</v>
      </c>
      <c r="D18" s="56" t="s">
        <v>405</v>
      </c>
    </row>
    <row r="19" spans="1:8" ht="14.5" x14ac:dyDescent="0.35">
      <c r="A19" s="3" t="s">
        <v>406</v>
      </c>
    </row>
    <row r="21" spans="1:8" ht="15.75" customHeight="1" x14ac:dyDescent="0.35">
      <c r="A21" s="7" t="s">
        <v>407</v>
      </c>
      <c r="B21" s="10"/>
      <c r="C21" s="10"/>
      <c r="D21" s="10"/>
      <c r="E21" s="10"/>
      <c r="F21" s="10"/>
      <c r="G21" s="10"/>
      <c r="H21" s="10"/>
    </row>
    <row r="22" spans="1:8" ht="15.75" customHeight="1" x14ac:dyDescent="0.35">
      <c r="A22" s="19" t="s">
        <v>408</v>
      </c>
      <c r="B22" s="19" t="s">
        <v>409</v>
      </c>
      <c r="C22" s="19" t="s">
        <v>410</v>
      </c>
      <c r="D22" s="19" t="s">
        <v>411</v>
      </c>
    </row>
    <row r="23" spans="1:8" ht="33.75" customHeight="1" x14ac:dyDescent="0.35">
      <c r="A23" s="6" t="s">
        <v>412</v>
      </c>
      <c r="B23" s="56" t="s">
        <v>413</v>
      </c>
      <c r="C23" s="56" t="s">
        <v>414</v>
      </c>
      <c r="D23" s="56" t="s">
        <v>415</v>
      </c>
    </row>
    <row r="24" spans="1:8" ht="33.75" customHeight="1" x14ac:dyDescent="0.35">
      <c r="A24" s="6" t="s">
        <v>416</v>
      </c>
      <c r="B24" s="56" t="s">
        <v>417</v>
      </c>
      <c r="C24" s="56" t="s">
        <v>418</v>
      </c>
      <c r="D24" s="56" t="s">
        <v>419</v>
      </c>
    </row>
    <row r="25" spans="1:8" ht="33.75" customHeight="1" x14ac:dyDescent="0.35">
      <c r="A25" s="6" t="s">
        <v>420</v>
      </c>
      <c r="B25" s="56" t="s">
        <v>417</v>
      </c>
      <c r="C25" s="56" t="s">
        <v>421</v>
      </c>
      <c r="D25" s="56" t="s">
        <v>422</v>
      </c>
    </row>
    <row r="26" spans="1:8" ht="15.75" customHeight="1" x14ac:dyDescent="0.35">
      <c r="A26" s="3" t="s">
        <v>423</v>
      </c>
    </row>
    <row r="27" spans="1:8" ht="15.75" customHeight="1" x14ac:dyDescent="0.35"/>
    <row r="28" spans="1:8" ht="15.75" customHeight="1" x14ac:dyDescent="0.35">
      <c r="A28" s="7" t="s">
        <v>424</v>
      </c>
      <c r="B28" s="10"/>
      <c r="C28" s="10"/>
      <c r="D28" s="10"/>
      <c r="E28" s="10"/>
      <c r="F28" s="10"/>
      <c r="G28" s="10"/>
      <c r="H28" s="10"/>
    </row>
    <row r="29" spans="1:8" ht="15.75" customHeight="1" x14ac:dyDescent="0.35">
      <c r="A29" s="6" t="s">
        <v>425</v>
      </c>
      <c r="B29" s="35" t="s">
        <v>426</v>
      </c>
    </row>
    <row r="30" spans="1:8" ht="15.75" customHeight="1" x14ac:dyDescent="0.35">
      <c r="A30" s="6" t="s">
        <v>427</v>
      </c>
      <c r="B30" s="35" t="s">
        <v>426</v>
      </c>
    </row>
    <row r="31" spans="1:8" ht="15.75" customHeight="1" x14ac:dyDescent="0.35">
      <c r="A31" s="6" t="s">
        <v>428</v>
      </c>
      <c r="B31" s="35" t="s">
        <v>426</v>
      </c>
    </row>
    <row r="32" spans="1:8" ht="15.75" customHeight="1" x14ac:dyDescent="0.35">
      <c r="A32" s="6" t="s">
        <v>429</v>
      </c>
      <c r="B32" s="35" t="s">
        <v>430</v>
      </c>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tabSelected="1" topLeftCell="C3" workbookViewId="0">
      <selection activeCell="F20" sqref="F20"/>
    </sheetView>
  </sheetViews>
  <sheetFormatPr defaultColWidth="14.453125" defaultRowHeight="15" customHeight="1" x14ac:dyDescent="0.35"/>
  <cols>
    <col min="1" max="1" width="26" customWidth="1"/>
    <col min="2" max="2" width="30" customWidth="1"/>
    <col min="3" max="3" width="20" customWidth="1"/>
    <col min="4" max="4" width="16" customWidth="1"/>
    <col min="5" max="5" width="56" customWidth="1"/>
    <col min="6" max="8" width="15" customWidth="1"/>
    <col min="9" max="26" width="8.7265625" customWidth="1"/>
  </cols>
  <sheetData>
    <row r="1" spans="1:8" ht="24" customHeight="1" x14ac:dyDescent="0.4">
      <c r="A1" s="1" t="s">
        <v>431</v>
      </c>
      <c r="B1" s="2"/>
      <c r="C1" s="2"/>
      <c r="D1" s="2"/>
      <c r="E1" s="2"/>
      <c r="F1" s="2"/>
      <c r="G1" s="2"/>
      <c r="H1" s="2"/>
    </row>
    <row r="2" spans="1:8" ht="14.5" x14ac:dyDescent="0.35">
      <c r="A2" s="3" t="s">
        <v>432</v>
      </c>
    </row>
    <row r="3" spans="1:8" ht="14.5" x14ac:dyDescent="0.35">
      <c r="A3" s="6" t="s">
        <v>433</v>
      </c>
      <c r="B3" s="35" t="s">
        <v>434</v>
      </c>
      <c r="D3" s="3" t="s">
        <v>435</v>
      </c>
    </row>
    <row r="5" spans="1:8" ht="14.5" x14ac:dyDescent="0.35">
      <c r="A5" s="32" t="s">
        <v>436</v>
      </c>
      <c r="B5" s="32" t="s">
        <v>437</v>
      </c>
      <c r="C5" s="32" t="s">
        <v>438</v>
      </c>
      <c r="D5" s="32" t="s">
        <v>439</v>
      </c>
      <c r="E5" s="32" t="s">
        <v>440</v>
      </c>
    </row>
    <row r="6" spans="1:8" ht="14.5" x14ac:dyDescent="0.35">
      <c r="A6" s="33" t="s">
        <v>172</v>
      </c>
      <c r="B6" s="33" t="s">
        <v>441</v>
      </c>
      <c r="C6" s="33" t="s">
        <v>442</v>
      </c>
      <c r="D6" s="33" t="s">
        <v>443</v>
      </c>
      <c r="E6" s="34" t="s">
        <v>444</v>
      </c>
    </row>
    <row r="7" spans="1:8" ht="14.5" x14ac:dyDescent="0.35">
      <c r="A7" s="33" t="s">
        <v>172</v>
      </c>
      <c r="B7" s="33" t="s">
        <v>445</v>
      </c>
      <c r="C7" s="33" t="s">
        <v>446</v>
      </c>
      <c r="D7" s="33" t="s">
        <v>443</v>
      </c>
      <c r="E7" s="34" t="s">
        <v>444</v>
      </c>
    </row>
    <row r="8" spans="1:8" ht="14.5" x14ac:dyDescent="0.35">
      <c r="A8" s="33" t="s">
        <v>172</v>
      </c>
      <c r="B8" s="33" t="s">
        <v>447</v>
      </c>
      <c r="C8" s="33" t="s">
        <v>448</v>
      </c>
      <c r="D8" s="33" t="s">
        <v>443</v>
      </c>
      <c r="E8" s="34" t="s">
        <v>444</v>
      </c>
    </row>
    <row r="9" spans="1:8" ht="14.5" x14ac:dyDescent="0.35">
      <c r="A9" s="33" t="s">
        <v>172</v>
      </c>
      <c r="B9" s="33" t="s">
        <v>449</v>
      </c>
      <c r="C9" s="33" t="s">
        <v>450</v>
      </c>
      <c r="D9" s="33" t="s">
        <v>451</v>
      </c>
      <c r="E9" s="34" t="s">
        <v>444</v>
      </c>
    </row>
    <row r="10" spans="1:8" ht="24" x14ac:dyDescent="0.35">
      <c r="A10" s="33" t="s">
        <v>172</v>
      </c>
      <c r="B10" s="33" t="s">
        <v>452</v>
      </c>
      <c r="C10" s="33" t="s">
        <v>453</v>
      </c>
      <c r="D10" s="33" t="s">
        <v>443</v>
      </c>
      <c r="E10" s="34" t="s">
        <v>454</v>
      </c>
    </row>
    <row r="11" spans="1:8" ht="14.5" x14ac:dyDescent="0.35">
      <c r="A11" s="33" t="s">
        <v>172</v>
      </c>
      <c r="B11" s="33" t="s">
        <v>455</v>
      </c>
      <c r="C11" s="33" t="s">
        <v>456</v>
      </c>
      <c r="D11" s="33" t="s">
        <v>443</v>
      </c>
      <c r="E11" s="34" t="s">
        <v>457</v>
      </c>
    </row>
    <row r="12" spans="1:8" ht="14.5" x14ac:dyDescent="0.35">
      <c r="A12" s="33" t="s">
        <v>172</v>
      </c>
      <c r="B12" s="33" t="s">
        <v>458</v>
      </c>
      <c r="C12" s="33" t="s">
        <v>459</v>
      </c>
      <c r="D12" s="33" t="s">
        <v>451</v>
      </c>
      <c r="E12" s="34" t="s">
        <v>457</v>
      </c>
    </row>
    <row r="13" spans="1:8" ht="14.5" x14ac:dyDescent="0.35">
      <c r="A13" s="33" t="s">
        <v>172</v>
      </c>
      <c r="B13" s="33" t="s">
        <v>460</v>
      </c>
      <c r="C13" s="33" t="s">
        <v>461</v>
      </c>
      <c r="D13" s="33" t="s">
        <v>443</v>
      </c>
      <c r="E13" s="34" t="s">
        <v>462</v>
      </c>
    </row>
    <row r="14" spans="1:8" ht="24" x14ac:dyDescent="0.35">
      <c r="A14" s="33" t="s">
        <v>172</v>
      </c>
      <c r="B14" s="33" t="s">
        <v>463</v>
      </c>
      <c r="C14" s="33" t="s">
        <v>464</v>
      </c>
      <c r="D14" s="33" t="s">
        <v>443</v>
      </c>
      <c r="E14" s="34" t="s">
        <v>465</v>
      </c>
    </row>
    <row r="15" spans="1:8" ht="14.5" x14ac:dyDescent="0.35">
      <c r="A15" s="33" t="s">
        <v>466</v>
      </c>
      <c r="B15" s="33" t="s">
        <v>467</v>
      </c>
      <c r="C15" s="33" t="s">
        <v>468</v>
      </c>
      <c r="D15" s="33" t="s">
        <v>469</v>
      </c>
      <c r="E15" s="34" t="s">
        <v>470</v>
      </c>
    </row>
    <row r="16" spans="1:8" ht="14.5" x14ac:dyDescent="0.35">
      <c r="A16" s="33" t="s">
        <v>466</v>
      </c>
      <c r="B16" s="33" t="s">
        <v>471</v>
      </c>
      <c r="C16" s="33" t="s">
        <v>472</v>
      </c>
      <c r="D16" s="33" t="s">
        <v>469</v>
      </c>
      <c r="E16" s="34" t="s">
        <v>473</v>
      </c>
    </row>
    <row r="17" spans="1:5" ht="14.5" x14ac:dyDescent="0.35">
      <c r="A17" s="33" t="s">
        <v>466</v>
      </c>
      <c r="B17" s="33" t="s">
        <v>474</v>
      </c>
      <c r="C17" s="33" t="s">
        <v>475</v>
      </c>
      <c r="D17" s="33" t="s">
        <v>469</v>
      </c>
      <c r="E17" s="34" t="s">
        <v>476</v>
      </c>
    </row>
    <row r="18" spans="1:5" ht="14.5" x14ac:dyDescent="0.35">
      <c r="A18" s="33" t="s">
        <v>466</v>
      </c>
      <c r="B18" s="33" t="s">
        <v>477</v>
      </c>
      <c r="C18" s="33" t="s">
        <v>478</v>
      </c>
      <c r="D18" s="33" t="s">
        <v>469</v>
      </c>
      <c r="E18" s="34" t="s">
        <v>457</v>
      </c>
    </row>
    <row r="19" spans="1:5" ht="14.5" x14ac:dyDescent="0.35">
      <c r="A19" s="33" t="s">
        <v>479</v>
      </c>
      <c r="B19" s="33" t="s">
        <v>480</v>
      </c>
      <c r="C19" s="33" t="s">
        <v>481</v>
      </c>
      <c r="D19" s="33" t="s">
        <v>482</v>
      </c>
      <c r="E19" s="34" t="s">
        <v>483</v>
      </c>
    </row>
    <row r="20" spans="1:5" ht="14.5" x14ac:dyDescent="0.35">
      <c r="A20" s="33" t="s">
        <v>479</v>
      </c>
      <c r="B20" s="33" t="s">
        <v>484</v>
      </c>
      <c r="C20" s="33" t="s">
        <v>485</v>
      </c>
      <c r="D20" s="33" t="s">
        <v>482</v>
      </c>
      <c r="E20" s="34" t="s">
        <v>457</v>
      </c>
    </row>
    <row r="21" spans="1:5" ht="15.75" customHeight="1" x14ac:dyDescent="0.35">
      <c r="A21" s="33" t="s">
        <v>479</v>
      </c>
      <c r="B21" s="33" t="s">
        <v>486</v>
      </c>
      <c r="C21" s="33" t="s">
        <v>487</v>
      </c>
      <c r="D21" s="33" t="s">
        <v>482</v>
      </c>
      <c r="E21" s="34" t="s">
        <v>488</v>
      </c>
    </row>
    <row r="22" spans="1:5" ht="15.75" customHeight="1" x14ac:dyDescent="0.35">
      <c r="A22" s="33" t="s">
        <v>479</v>
      </c>
      <c r="B22" s="33" t="s">
        <v>489</v>
      </c>
      <c r="C22" s="33" t="s">
        <v>490</v>
      </c>
      <c r="D22" s="33" t="s">
        <v>482</v>
      </c>
      <c r="E22" s="34" t="s">
        <v>488</v>
      </c>
    </row>
    <row r="23" spans="1:5" ht="15.75" customHeight="1" x14ac:dyDescent="0.35">
      <c r="A23" s="33" t="s">
        <v>491</v>
      </c>
      <c r="B23" s="33" t="s">
        <v>492</v>
      </c>
      <c r="C23" s="33" t="s">
        <v>493</v>
      </c>
      <c r="D23" s="33" t="s">
        <v>494</v>
      </c>
      <c r="E23" s="34" t="s">
        <v>495</v>
      </c>
    </row>
    <row r="24" spans="1:5" ht="15.75" customHeight="1" x14ac:dyDescent="0.35">
      <c r="A24" s="33" t="s">
        <v>496</v>
      </c>
      <c r="B24" s="33" t="s">
        <v>497</v>
      </c>
      <c r="C24" s="33" t="s">
        <v>498</v>
      </c>
      <c r="D24" s="33" t="s">
        <v>499</v>
      </c>
      <c r="E24" s="34" t="s">
        <v>500</v>
      </c>
    </row>
    <row r="25" spans="1:5" ht="15.75" customHeight="1" x14ac:dyDescent="0.35">
      <c r="A25" s="33" t="s">
        <v>496</v>
      </c>
      <c r="B25" s="33" t="s">
        <v>501</v>
      </c>
      <c r="C25" s="33" t="s">
        <v>502</v>
      </c>
      <c r="D25" s="33" t="s">
        <v>499</v>
      </c>
      <c r="E25" s="34" t="s">
        <v>503</v>
      </c>
    </row>
    <row r="26" spans="1:5" ht="15.75" customHeight="1" x14ac:dyDescent="0.35">
      <c r="A26" s="33" t="s">
        <v>496</v>
      </c>
      <c r="B26" s="33" t="s">
        <v>504</v>
      </c>
      <c r="C26" s="33" t="s">
        <v>505</v>
      </c>
      <c r="D26" s="33" t="s">
        <v>451</v>
      </c>
      <c r="E26" s="34" t="s">
        <v>506</v>
      </c>
    </row>
    <row r="27" spans="1:5" ht="15.75" customHeight="1" x14ac:dyDescent="0.35">
      <c r="A27" s="33" t="s">
        <v>507</v>
      </c>
      <c r="B27" s="33" t="s">
        <v>508</v>
      </c>
      <c r="C27" s="33" t="s">
        <v>509</v>
      </c>
      <c r="D27" s="33" t="s">
        <v>510</v>
      </c>
      <c r="E27" s="34" t="s">
        <v>511</v>
      </c>
    </row>
    <row r="28" spans="1:5" ht="15.75" customHeight="1" x14ac:dyDescent="0.35">
      <c r="A28" s="33" t="s">
        <v>507</v>
      </c>
      <c r="B28" s="33" t="s">
        <v>512</v>
      </c>
      <c r="C28" s="33" t="s">
        <v>513</v>
      </c>
      <c r="D28" s="33" t="s">
        <v>510</v>
      </c>
      <c r="E28" s="34" t="s">
        <v>511</v>
      </c>
    </row>
    <row r="29" spans="1:5" ht="15.75" customHeight="1" x14ac:dyDescent="0.35">
      <c r="A29" s="33" t="s">
        <v>507</v>
      </c>
      <c r="B29" s="33" t="s">
        <v>514</v>
      </c>
      <c r="C29" s="33" t="s">
        <v>515</v>
      </c>
      <c r="D29" s="33" t="s">
        <v>516</v>
      </c>
      <c r="E29" s="34" t="s">
        <v>517</v>
      </c>
    </row>
    <row r="30" spans="1:5" ht="15.75" customHeight="1" x14ac:dyDescent="0.35">
      <c r="A30" s="33" t="s">
        <v>507</v>
      </c>
      <c r="B30" s="33" t="s">
        <v>518</v>
      </c>
      <c r="C30" s="33" t="s">
        <v>519</v>
      </c>
      <c r="D30" s="33" t="s">
        <v>520</v>
      </c>
      <c r="E30" s="34" t="s">
        <v>521</v>
      </c>
    </row>
    <row r="31" spans="1:5" ht="15.75" customHeight="1" x14ac:dyDescent="0.35">
      <c r="A31" s="33" t="s">
        <v>507</v>
      </c>
      <c r="B31" s="33" t="s">
        <v>522</v>
      </c>
      <c r="C31" s="33" t="s">
        <v>523</v>
      </c>
      <c r="D31" s="33" t="s">
        <v>524</v>
      </c>
      <c r="E31" s="34" t="s">
        <v>521</v>
      </c>
    </row>
    <row r="32" spans="1:5" ht="15.75" customHeight="1" x14ac:dyDescent="0.35">
      <c r="A32" s="33" t="s">
        <v>507</v>
      </c>
      <c r="B32" s="33" t="s">
        <v>525</v>
      </c>
      <c r="C32" s="33" t="s">
        <v>526</v>
      </c>
      <c r="D32" s="33" t="s">
        <v>520</v>
      </c>
      <c r="E32" s="34" t="s">
        <v>527</v>
      </c>
    </row>
    <row r="33" spans="1:5" ht="15.75" customHeight="1" x14ac:dyDescent="0.35">
      <c r="A33" s="33" t="s">
        <v>507</v>
      </c>
      <c r="B33" s="33" t="s">
        <v>528</v>
      </c>
      <c r="C33" s="33" t="s">
        <v>529</v>
      </c>
      <c r="D33" s="33" t="s">
        <v>530</v>
      </c>
      <c r="E33" s="34" t="s">
        <v>527</v>
      </c>
    </row>
    <row r="34" spans="1:5" ht="15.75" customHeight="1" x14ac:dyDescent="0.35">
      <c r="A34" s="33" t="s">
        <v>507</v>
      </c>
      <c r="B34" s="33" t="s">
        <v>531</v>
      </c>
      <c r="C34" s="33" t="s">
        <v>532</v>
      </c>
      <c r="D34" s="33" t="s">
        <v>533</v>
      </c>
      <c r="E34" s="34" t="s">
        <v>534</v>
      </c>
    </row>
    <row r="35" spans="1:5" ht="15.75" customHeight="1" x14ac:dyDescent="0.35">
      <c r="A35" s="33" t="s">
        <v>535</v>
      </c>
      <c r="B35" s="33" t="s">
        <v>536</v>
      </c>
      <c r="C35" s="33" t="s">
        <v>537</v>
      </c>
      <c r="D35" s="33" t="s">
        <v>538</v>
      </c>
      <c r="E35" s="34" t="s">
        <v>539</v>
      </c>
    </row>
    <row r="36" spans="1:5" ht="15.75" customHeight="1" x14ac:dyDescent="0.35">
      <c r="A36" s="33" t="s">
        <v>535</v>
      </c>
      <c r="B36" s="33" t="s">
        <v>540</v>
      </c>
      <c r="C36" s="33" t="s">
        <v>541</v>
      </c>
      <c r="D36" s="33" t="s">
        <v>538</v>
      </c>
      <c r="E36" s="34" t="s">
        <v>542</v>
      </c>
    </row>
    <row r="37" spans="1:5" ht="15.75" customHeight="1" x14ac:dyDescent="0.35">
      <c r="A37" s="33" t="s">
        <v>535</v>
      </c>
      <c r="B37" s="33" t="s">
        <v>543</v>
      </c>
      <c r="C37" s="33" t="s">
        <v>544</v>
      </c>
      <c r="D37" s="33" t="s">
        <v>538</v>
      </c>
      <c r="E37" s="34" t="s">
        <v>545</v>
      </c>
    </row>
    <row r="38" spans="1:5" ht="15.75" customHeight="1" x14ac:dyDescent="0.35">
      <c r="A38" s="33" t="s">
        <v>535</v>
      </c>
      <c r="B38" s="33" t="s">
        <v>546</v>
      </c>
      <c r="C38" s="33" t="s">
        <v>547</v>
      </c>
      <c r="D38" s="33" t="s">
        <v>306</v>
      </c>
      <c r="E38" s="34" t="s">
        <v>542</v>
      </c>
    </row>
    <row r="39" spans="1:5" ht="15.75" customHeight="1" x14ac:dyDescent="0.35">
      <c r="A39" s="33" t="s">
        <v>535</v>
      </c>
      <c r="B39" s="33" t="s">
        <v>548</v>
      </c>
      <c r="C39" s="33" t="s">
        <v>549</v>
      </c>
      <c r="D39" s="33" t="s">
        <v>550</v>
      </c>
      <c r="E39" s="34" t="s">
        <v>551</v>
      </c>
    </row>
    <row r="40" spans="1:5" ht="15.75" customHeight="1" x14ac:dyDescent="0.35">
      <c r="A40" s="33" t="s">
        <v>535</v>
      </c>
      <c r="B40" s="33" t="s">
        <v>552</v>
      </c>
      <c r="C40" s="33" t="s">
        <v>553</v>
      </c>
      <c r="D40" s="33" t="s">
        <v>554</v>
      </c>
      <c r="E40" s="34" t="s">
        <v>555</v>
      </c>
    </row>
    <row r="41" spans="1:5" ht="15.75" customHeight="1" x14ac:dyDescent="0.35">
      <c r="A41" s="33" t="s">
        <v>535</v>
      </c>
      <c r="B41" s="33" t="s">
        <v>556</v>
      </c>
      <c r="C41" s="33" t="s">
        <v>557</v>
      </c>
      <c r="D41" s="33" t="s">
        <v>558</v>
      </c>
      <c r="E41" s="34" t="s">
        <v>559</v>
      </c>
    </row>
    <row r="42" spans="1:5" ht="15.75" customHeight="1" x14ac:dyDescent="0.35"/>
    <row r="43" spans="1:5" ht="15.75" customHeight="1" x14ac:dyDescent="0.35">
      <c r="A43" s="3" t="s">
        <v>560</v>
      </c>
    </row>
    <row r="44" spans="1:5" ht="15.75" customHeight="1" x14ac:dyDescent="0.35"/>
    <row r="45" spans="1:5" ht="15.75" customHeight="1" x14ac:dyDescent="0.35">
      <c r="A45" s="42" t="s">
        <v>561</v>
      </c>
    </row>
    <row r="46" spans="1:5" ht="15.75" customHeight="1" x14ac:dyDescent="0.35">
      <c r="A46" s="44" t="s">
        <v>172</v>
      </c>
      <c r="B46" s="44" t="s">
        <v>562</v>
      </c>
      <c r="C46" s="44" t="s">
        <v>563</v>
      </c>
      <c r="D46" s="44" t="s">
        <v>443</v>
      </c>
      <c r="E46" s="44" t="s">
        <v>564</v>
      </c>
    </row>
    <row r="47" spans="1:5" ht="15.75" customHeight="1" x14ac:dyDescent="0.35">
      <c r="A47" s="44" t="s">
        <v>174</v>
      </c>
      <c r="B47" s="44" t="s">
        <v>565</v>
      </c>
      <c r="C47" s="44" t="s">
        <v>566</v>
      </c>
      <c r="D47" s="44" t="s">
        <v>567</v>
      </c>
      <c r="E47" s="44" t="s">
        <v>568</v>
      </c>
    </row>
    <row r="48" spans="1:5" ht="15.75" customHeight="1" x14ac:dyDescent="0.35">
      <c r="A48" s="44" t="s">
        <v>569</v>
      </c>
      <c r="B48" s="44" t="s">
        <v>570</v>
      </c>
      <c r="C48" s="44" t="s">
        <v>571</v>
      </c>
      <c r="D48" s="44" t="s">
        <v>572</v>
      </c>
      <c r="E48" s="44" t="s">
        <v>573</v>
      </c>
    </row>
    <row r="49" spans="1:5" ht="15.75" customHeight="1" x14ac:dyDescent="0.35">
      <c r="A49" s="44" t="s">
        <v>574</v>
      </c>
      <c r="B49" s="44" t="s">
        <v>575</v>
      </c>
      <c r="C49" s="44" t="s">
        <v>576</v>
      </c>
      <c r="D49" s="44" t="s">
        <v>577</v>
      </c>
      <c r="E49" s="44" t="s">
        <v>578</v>
      </c>
    </row>
    <row r="50" spans="1:5" ht="15.75" customHeight="1" x14ac:dyDescent="0.35">
      <c r="A50" s="44" t="s">
        <v>579</v>
      </c>
      <c r="B50" s="44" t="s">
        <v>580</v>
      </c>
      <c r="C50" s="44" t="s">
        <v>581</v>
      </c>
      <c r="D50" s="44" t="s">
        <v>582</v>
      </c>
      <c r="E50" s="44" t="s">
        <v>583</v>
      </c>
    </row>
    <row r="51" spans="1:5" ht="15.75" customHeight="1" x14ac:dyDescent="0.35">
      <c r="A51" s="44" t="s">
        <v>507</v>
      </c>
      <c r="B51" s="44" t="s">
        <v>584</v>
      </c>
      <c r="C51" s="44" t="s">
        <v>585</v>
      </c>
      <c r="D51" s="44" t="s">
        <v>567</v>
      </c>
      <c r="E51" s="44" t="s">
        <v>586</v>
      </c>
    </row>
    <row r="52" spans="1:5" ht="15.75" customHeight="1" x14ac:dyDescent="0.35">
      <c r="A52" s="44" t="s">
        <v>507</v>
      </c>
      <c r="B52" s="44" t="s">
        <v>587</v>
      </c>
      <c r="C52" s="44" t="s">
        <v>588</v>
      </c>
      <c r="D52" s="44" t="s">
        <v>567</v>
      </c>
      <c r="E52" s="44" t="s">
        <v>589</v>
      </c>
    </row>
    <row r="53" spans="1:5" ht="15.75" customHeight="1" x14ac:dyDescent="0.35"/>
    <row r="54" spans="1:5" ht="15.75" customHeight="1" x14ac:dyDescent="0.35"/>
    <row r="55" spans="1:5" ht="15.75" customHeight="1" x14ac:dyDescent="0.35"/>
    <row r="56" spans="1:5" ht="15.75" customHeight="1" x14ac:dyDescent="0.35"/>
    <row r="57" spans="1:5" ht="15.75" customHeight="1" x14ac:dyDescent="0.35"/>
    <row r="58" spans="1:5" ht="15.75" customHeight="1" x14ac:dyDescent="0.35"/>
    <row r="59" spans="1:5" ht="15.75" customHeight="1" x14ac:dyDescent="0.35"/>
    <row r="60" spans="1:5" ht="15.75" customHeight="1" x14ac:dyDescent="0.35"/>
    <row r="61" spans="1:5" ht="15.75" customHeight="1" x14ac:dyDescent="0.35"/>
    <row r="62" spans="1:5" ht="15.75" customHeight="1" x14ac:dyDescent="0.35"/>
    <row r="63" spans="1:5" ht="15.75" customHeight="1" x14ac:dyDescent="0.35"/>
    <row r="64" spans="1:5"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Nhung Nhung</cp:lastModifiedBy>
  <dcterms:created xsi:type="dcterms:W3CDTF">2026-08-26T15:07:08Z</dcterms:created>
  <dcterms:modified xsi:type="dcterms:W3CDTF">2026-10-08T08:08:50Z</dcterms:modified>
</cp:coreProperties>
</file>